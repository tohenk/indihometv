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y-Zone\indihometv\tmp0\"/>
    </mc:Choice>
  </mc:AlternateContent>
  <xr:revisionPtr revIDLastSave="0" documentId="13_ncr:1_{253DF585-7E57-4AE6-B7A7-251600C31922}" xr6:coauthVersionLast="47" xr6:coauthVersionMax="47" xr10:uidLastSave="{00000000-0000-0000-0000-000000000000}"/>
  <bookViews>
    <workbookView xWindow="-96" yWindow="-96" windowWidth="23232" windowHeight="12432" xr2:uid="{FE316455-36A5-4E2A-847D-B6F1512DB227}"/>
  </bookViews>
  <sheets>
    <sheet name="START" sheetId="1" r:id="rId1"/>
    <sheet name="M3U" sheetId="2" r:id="rId2"/>
    <sheet name="STREAM" sheetId="9" r:id="rId3"/>
    <sheet name="EPG" sheetId="3" r:id="rId4"/>
    <sheet name="XMLTV" sheetId="8" r:id="rId5"/>
    <sheet name="GUIDE" sheetId="7" r:id="rId6"/>
    <sheet name="CHANNEL" sheetId="4" r:id="rId7"/>
    <sheet name="CHANNEL EXT" sheetId="6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196" i="7" l="1"/>
  <c r="A195" i="7"/>
  <c r="A194" i="7"/>
  <c r="A193" i="7"/>
  <c r="A192" i="7"/>
  <c r="A191" i="7"/>
  <c r="A190" i="7"/>
  <c r="A189" i="7"/>
  <c r="A188" i="7"/>
  <c r="A187" i="7"/>
  <c r="A186" i="7"/>
  <c r="A185" i="7"/>
  <c r="A184" i="7"/>
  <c r="A182" i="7"/>
  <c r="A183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C223" i="2"/>
  <c r="F223" i="2"/>
  <c r="G223" i="2"/>
  <c r="H223" i="2"/>
  <c r="A5" i="9"/>
  <c r="D5" i="9"/>
  <c r="A3" i="9"/>
  <c r="D3" i="9"/>
  <c r="A2" i="9"/>
  <c r="D2" i="9"/>
  <c r="A6" i="9"/>
  <c r="D6" i="9"/>
  <c r="A4" i="9"/>
  <c r="D4" i="9"/>
  <c r="A7" i="9"/>
  <c r="D7" i="9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0" i="7"/>
  <c r="A531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0" i="7"/>
  <c r="A452" i="7"/>
  <c r="A451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A787" i="7"/>
  <c r="A786" i="7"/>
  <c r="A785" i="7"/>
  <c r="A784" i="7"/>
  <c r="A783" i="7"/>
  <c r="A782" i="7"/>
  <c r="A781" i="7"/>
  <c r="A780" i="7"/>
  <c r="A779" i="7"/>
  <c r="A778" i="7"/>
  <c r="A777" i="7"/>
  <c r="A776" i="7"/>
  <c r="A775" i="7"/>
  <c r="A774" i="7"/>
  <c r="A773" i="7"/>
  <c r="A772" i="7"/>
  <c r="A770" i="7"/>
  <c r="A771" i="7"/>
  <c r="A767" i="7"/>
  <c r="A769" i="7"/>
  <c r="A768" i="7"/>
  <c r="A766" i="7"/>
  <c r="A765" i="7"/>
  <c r="A764" i="7"/>
  <c r="A763" i="7"/>
  <c r="A762" i="7"/>
  <c r="A761" i="7"/>
  <c r="A760" i="7"/>
  <c r="A759" i="7"/>
  <c r="A758" i="7"/>
  <c r="A757" i="7"/>
  <c r="A756" i="7"/>
  <c r="A755" i="7"/>
  <c r="A754" i="7"/>
  <c r="A753" i="7"/>
  <c r="A752" i="7"/>
  <c r="A751" i="7"/>
  <c r="A750" i="7"/>
  <c r="A749" i="7"/>
  <c r="A748" i="7"/>
  <c r="A747" i="7"/>
  <c r="A746" i="7"/>
  <c r="A745" i="7"/>
  <c r="A744" i="7"/>
  <c r="A743" i="7"/>
  <c r="A742" i="7"/>
  <c r="A741" i="7"/>
  <c r="A740" i="7"/>
  <c r="A739" i="7"/>
  <c r="A738" i="7"/>
  <c r="A737" i="7"/>
  <c r="A736" i="7"/>
  <c r="A735" i="7"/>
  <c r="A734" i="7"/>
  <c r="A733" i="7"/>
  <c r="A732" i="7"/>
  <c r="A731" i="7"/>
  <c r="A730" i="7"/>
  <c r="A729" i="7"/>
  <c r="A728" i="7"/>
  <c r="A727" i="7"/>
  <c r="A726" i="7"/>
  <c r="A725" i="7"/>
  <c r="A724" i="7"/>
  <c r="A723" i="7"/>
  <c r="A722" i="7"/>
  <c r="A721" i="7"/>
  <c r="A720" i="7"/>
  <c r="A719" i="7"/>
  <c r="A718" i="7"/>
  <c r="A717" i="7"/>
  <c r="A716" i="7"/>
  <c r="A715" i="7"/>
  <c r="A714" i="7"/>
  <c r="A713" i="7"/>
  <c r="A712" i="7"/>
  <c r="A711" i="7"/>
  <c r="A710" i="7"/>
  <c r="A709" i="7"/>
  <c r="A708" i="7"/>
  <c r="A707" i="7"/>
  <c r="A706" i="7"/>
  <c r="A705" i="7"/>
  <c r="A704" i="7"/>
  <c r="A703" i="7"/>
  <c r="A702" i="7"/>
  <c r="A701" i="7"/>
  <c r="A700" i="7"/>
  <c r="A699" i="7"/>
  <c r="A698" i="7"/>
  <c r="A697" i="7"/>
  <c r="A696" i="7"/>
  <c r="A695" i="7"/>
  <c r="A694" i="7"/>
  <c r="A693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3" i="7"/>
  <c r="A664" i="7"/>
  <c r="A662" i="7"/>
  <c r="A661" i="7"/>
  <c r="A660" i="7"/>
  <c r="A659" i="7"/>
  <c r="A658" i="7"/>
  <c r="A657" i="7"/>
  <c r="A656" i="7"/>
  <c r="A655" i="7"/>
  <c r="A654" i="7"/>
  <c r="A653" i="7"/>
  <c r="A652" i="7"/>
  <c r="A651" i="7"/>
  <c r="A650" i="7"/>
  <c r="A649" i="7"/>
  <c r="A648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9" i="7"/>
  <c r="A608" i="7"/>
  <c r="A607" i="7"/>
  <c r="A606" i="7"/>
  <c r="A605" i="7"/>
  <c r="A604" i="7"/>
  <c r="A603" i="7"/>
  <c r="A602" i="7"/>
  <c r="A601" i="7"/>
  <c r="A600" i="7"/>
  <c r="A599" i="7"/>
  <c r="A597" i="7"/>
  <c r="A598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3" i="7"/>
  <c r="A392" i="7"/>
  <c r="A391" i="7"/>
  <c r="A394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3" i="7"/>
  <c r="A324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8" i="7"/>
  <c r="A289" i="7"/>
  <c r="A284" i="7"/>
  <c r="A287" i="7"/>
  <c r="A286" i="7"/>
  <c r="A285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F233" i="2"/>
  <c r="G233" i="2"/>
  <c r="H233" i="2"/>
  <c r="F234" i="2"/>
  <c r="G234" i="2"/>
  <c r="H234" i="2"/>
  <c r="F235" i="2"/>
  <c r="G235" i="2"/>
  <c r="H235" i="2"/>
  <c r="F236" i="2"/>
  <c r="G236" i="2"/>
  <c r="H236" i="2"/>
  <c r="F237" i="2"/>
  <c r="G237" i="2"/>
  <c r="H237" i="2"/>
  <c r="F238" i="2"/>
  <c r="G238" i="2"/>
  <c r="H238" i="2"/>
  <c r="F239" i="2"/>
  <c r="G239" i="2"/>
  <c r="H239" i="2"/>
  <c r="F231" i="2"/>
  <c r="G231" i="2"/>
  <c r="H231" i="2"/>
  <c r="F221" i="2"/>
  <c r="G221" i="2"/>
  <c r="H221" i="2"/>
  <c r="F222" i="2"/>
  <c r="G222" i="2"/>
  <c r="H222" i="2"/>
  <c r="F224" i="2"/>
  <c r="G224" i="2"/>
  <c r="H224" i="2"/>
  <c r="F225" i="2"/>
  <c r="G225" i="2"/>
  <c r="H225" i="2"/>
  <c r="F226" i="2"/>
  <c r="G226" i="2"/>
  <c r="H226" i="2"/>
  <c r="F227" i="2"/>
  <c r="G227" i="2"/>
  <c r="H227" i="2"/>
  <c r="F228" i="2"/>
  <c r="G228" i="2"/>
  <c r="H228" i="2"/>
  <c r="F229" i="2"/>
  <c r="G229" i="2"/>
  <c r="H229" i="2"/>
  <c r="F220" i="2"/>
  <c r="G220" i="2"/>
  <c r="H220" i="2"/>
  <c r="F219" i="2"/>
  <c r="G219" i="2"/>
  <c r="H219" i="2"/>
  <c r="F217" i="2"/>
  <c r="G217" i="2"/>
  <c r="H217" i="2"/>
  <c r="F215" i="2"/>
  <c r="G215" i="2"/>
  <c r="H215" i="2"/>
  <c r="F213" i="2"/>
  <c r="G213" i="2"/>
  <c r="H213" i="2"/>
  <c r="F211" i="2"/>
  <c r="G211" i="2"/>
  <c r="H211" i="2"/>
  <c r="F209" i="2"/>
  <c r="G209" i="2"/>
  <c r="H209" i="2"/>
  <c r="F207" i="2"/>
  <c r="G207" i="2"/>
  <c r="H207" i="2"/>
  <c r="F205" i="2"/>
  <c r="G205" i="2"/>
  <c r="H205" i="2"/>
  <c r="F200" i="2"/>
  <c r="G200" i="2"/>
  <c r="H200" i="2"/>
  <c r="F201" i="2"/>
  <c r="G201" i="2"/>
  <c r="H201" i="2"/>
  <c r="F202" i="2"/>
  <c r="G202" i="2"/>
  <c r="H202" i="2"/>
  <c r="F203" i="2"/>
  <c r="G203" i="2"/>
  <c r="H203" i="2"/>
  <c r="F196" i="2"/>
  <c r="G196" i="2"/>
  <c r="H196" i="2"/>
  <c r="F197" i="2"/>
  <c r="G197" i="2"/>
  <c r="H197" i="2"/>
  <c r="F194" i="2"/>
  <c r="G194" i="2"/>
  <c r="H194" i="2"/>
  <c r="F192" i="2"/>
  <c r="G192" i="2"/>
  <c r="H192" i="2"/>
  <c r="F190" i="2"/>
  <c r="G190" i="2"/>
  <c r="H190" i="2"/>
  <c r="F188" i="2"/>
  <c r="G188" i="2"/>
  <c r="H188" i="2"/>
  <c r="F187" i="2"/>
  <c r="G187" i="2"/>
  <c r="H187" i="2"/>
  <c r="F185" i="2"/>
  <c r="G185" i="2"/>
  <c r="H185" i="2"/>
  <c r="F183" i="2"/>
  <c r="G183" i="2"/>
  <c r="H183" i="2"/>
  <c r="F180" i="2"/>
  <c r="G180" i="2"/>
  <c r="H180" i="2"/>
  <c r="F181" i="2"/>
  <c r="G181" i="2"/>
  <c r="H181" i="2"/>
  <c r="F178" i="2"/>
  <c r="G178" i="2"/>
  <c r="H178" i="2"/>
  <c r="F175" i="2"/>
  <c r="G175" i="2"/>
  <c r="H175" i="2"/>
  <c r="F176" i="2"/>
  <c r="G176" i="2"/>
  <c r="H176" i="2"/>
  <c r="F173" i="2"/>
  <c r="G173" i="2"/>
  <c r="H173" i="2"/>
  <c r="F170" i="2"/>
  <c r="G170" i="2"/>
  <c r="H170" i="2"/>
  <c r="F171" i="2"/>
  <c r="G171" i="2"/>
  <c r="H171" i="2"/>
  <c r="F168" i="2"/>
  <c r="G168" i="2"/>
  <c r="H168" i="2"/>
  <c r="F166" i="2"/>
  <c r="G166" i="2"/>
  <c r="H166" i="2"/>
  <c r="F164" i="2"/>
  <c r="G164" i="2"/>
  <c r="H164" i="2"/>
  <c r="F162" i="2"/>
  <c r="G162" i="2"/>
  <c r="H162" i="2"/>
  <c r="F160" i="2"/>
  <c r="G160" i="2"/>
  <c r="H160" i="2"/>
  <c r="F158" i="2"/>
  <c r="G158" i="2"/>
  <c r="H158" i="2"/>
  <c r="F156" i="2"/>
  <c r="G156" i="2"/>
  <c r="H156" i="2"/>
  <c r="F157" i="2"/>
  <c r="G157" i="2"/>
  <c r="H157" i="2"/>
  <c r="F152" i="2"/>
  <c r="G152" i="2"/>
  <c r="H152" i="2"/>
  <c r="F153" i="2"/>
  <c r="G153" i="2"/>
  <c r="H153" i="2"/>
  <c r="F154" i="2"/>
  <c r="G154" i="2"/>
  <c r="H154" i="2"/>
  <c r="F155" i="2"/>
  <c r="G155" i="2"/>
  <c r="H155" i="2"/>
  <c r="F150" i="2"/>
  <c r="G150" i="2"/>
  <c r="H150" i="2"/>
  <c r="F148" i="2"/>
  <c r="G148" i="2"/>
  <c r="H148" i="2"/>
  <c r="F145" i="2"/>
  <c r="G145" i="2"/>
  <c r="H145" i="2"/>
  <c r="F146" i="2"/>
  <c r="G146" i="2"/>
  <c r="H146" i="2"/>
  <c r="F143" i="2"/>
  <c r="G143" i="2"/>
  <c r="H143" i="2"/>
  <c r="F141" i="2"/>
  <c r="G141" i="2"/>
  <c r="H141" i="2"/>
  <c r="F137" i="2"/>
  <c r="G137" i="2"/>
  <c r="H137" i="2"/>
  <c r="F138" i="2"/>
  <c r="G138" i="2"/>
  <c r="H138" i="2"/>
  <c r="F139" i="2"/>
  <c r="G139" i="2"/>
  <c r="H139" i="2"/>
  <c r="F135" i="2"/>
  <c r="G135" i="2"/>
  <c r="H135" i="2"/>
  <c r="F133" i="2"/>
  <c r="G133" i="2"/>
  <c r="H133" i="2"/>
  <c r="F131" i="2"/>
  <c r="G131" i="2"/>
  <c r="H131" i="2"/>
  <c r="F129" i="2"/>
  <c r="G129" i="2"/>
  <c r="H129" i="2"/>
  <c r="F126" i="2"/>
  <c r="G126" i="2"/>
  <c r="H126" i="2"/>
  <c r="F127" i="2"/>
  <c r="G127" i="2"/>
  <c r="H127" i="2"/>
  <c r="F123" i="2"/>
  <c r="G123" i="2"/>
  <c r="H123" i="2"/>
  <c r="F124" i="2"/>
  <c r="G124" i="2"/>
  <c r="H124" i="2"/>
  <c r="F121" i="2"/>
  <c r="G121" i="2"/>
  <c r="H121" i="2"/>
  <c r="F119" i="2"/>
  <c r="G119" i="2"/>
  <c r="H119" i="2"/>
  <c r="F117" i="2"/>
  <c r="G117" i="2"/>
  <c r="H117" i="2"/>
  <c r="F115" i="2"/>
  <c r="G115" i="2"/>
  <c r="H115" i="2"/>
  <c r="F112" i="2"/>
  <c r="G112" i="2"/>
  <c r="H112" i="2"/>
  <c r="F113" i="2"/>
  <c r="G113" i="2"/>
  <c r="H113" i="2"/>
  <c r="F110" i="2"/>
  <c r="G110" i="2"/>
  <c r="H110" i="2"/>
  <c r="F108" i="2"/>
  <c r="G108" i="2"/>
  <c r="H108" i="2"/>
  <c r="F106" i="2"/>
  <c r="G106" i="2"/>
  <c r="H106" i="2"/>
  <c r="F104" i="2"/>
  <c r="G104" i="2"/>
  <c r="H104" i="2"/>
  <c r="F102" i="2"/>
  <c r="G102" i="2"/>
  <c r="H102" i="2"/>
  <c r="F100" i="2"/>
  <c r="G100" i="2"/>
  <c r="H100" i="2"/>
  <c r="F98" i="2"/>
  <c r="G98" i="2"/>
  <c r="H98" i="2"/>
  <c r="F96" i="2"/>
  <c r="G96" i="2"/>
  <c r="H96" i="2"/>
  <c r="F94" i="2"/>
  <c r="G94" i="2"/>
  <c r="H94" i="2"/>
  <c r="F92" i="2"/>
  <c r="G92" i="2"/>
  <c r="H92" i="2"/>
  <c r="F90" i="2"/>
  <c r="G90" i="2"/>
  <c r="H90" i="2"/>
  <c r="F86" i="2"/>
  <c r="G86" i="2"/>
  <c r="H86" i="2"/>
  <c r="F87" i="2"/>
  <c r="G87" i="2"/>
  <c r="H87" i="2"/>
  <c r="F88" i="2"/>
  <c r="G88" i="2"/>
  <c r="H88" i="2"/>
  <c r="F82" i="2"/>
  <c r="G82" i="2"/>
  <c r="H82" i="2"/>
  <c r="F80" i="2"/>
  <c r="G80" i="2"/>
  <c r="H80" i="2"/>
  <c r="F78" i="2"/>
  <c r="G78" i="2"/>
  <c r="H78" i="2"/>
  <c r="F76" i="2"/>
  <c r="G76" i="2"/>
  <c r="H76" i="2"/>
  <c r="F72" i="2"/>
  <c r="G72" i="2"/>
  <c r="H72" i="2"/>
  <c r="F73" i="2"/>
  <c r="G73" i="2"/>
  <c r="H73" i="2"/>
  <c r="F74" i="2"/>
  <c r="G74" i="2"/>
  <c r="H74" i="2"/>
  <c r="F71" i="2"/>
  <c r="G71" i="2"/>
  <c r="H71" i="2"/>
  <c r="F67" i="2"/>
  <c r="G67" i="2"/>
  <c r="H67" i="2"/>
  <c r="F68" i="2"/>
  <c r="G68" i="2"/>
  <c r="H68" i="2"/>
  <c r="F69" i="2"/>
  <c r="G69" i="2"/>
  <c r="H69" i="2"/>
  <c r="F65" i="2"/>
  <c r="G65" i="2"/>
  <c r="H65" i="2"/>
  <c r="F63" i="2"/>
  <c r="G63" i="2"/>
  <c r="H63" i="2"/>
  <c r="F62" i="2"/>
  <c r="G62" i="2"/>
  <c r="H62" i="2"/>
  <c r="F56" i="2"/>
  <c r="G56" i="2"/>
  <c r="H56" i="2"/>
  <c r="F57" i="2"/>
  <c r="G57" i="2"/>
  <c r="H57" i="2"/>
  <c r="F58" i="2"/>
  <c r="G58" i="2"/>
  <c r="H58" i="2"/>
  <c r="F59" i="2"/>
  <c r="G59" i="2"/>
  <c r="H59" i="2"/>
  <c r="F60" i="2"/>
  <c r="G60" i="2"/>
  <c r="H60" i="2"/>
  <c r="F61" i="2"/>
  <c r="G61" i="2"/>
  <c r="H61" i="2"/>
  <c r="F54" i="2"/>
  <c r="G54" i="2"/>
  <c r="H54" i="2"/>
  <c r="F51" i="2"/>
  <c r="G51" i="2"/>
  <c r="H51" i="2"/>
  <c r="F52" i="2"/>
  <c r="G52" i="2"/>
  <c r="H52" i="2"/>
  <c r="F50" i="2"/>
  <c r="G50" i="2"/>
  <c r="H50" i="2"/>
  <c r="F47" i="2"/>
  <c r="G47" i="2"/>
  <c r="H47" i="2"/>
  <c r="F48" i="2"/>
  <c r="G48" i="2"/>
  <c r="H48" i="2"/>
  <c r="F45" i="2"/>
  <c r="G45" i="2"/>
  <c r="H45" i="2"/>
  <c r="F40" i="2"/>
  <c r="G40" i="2"/>
  <c r="H40" i="2"/>
  <c r="F41" i="2"/>
  <c r="G41" i="2"/>
  <c r="H41" i="2"/>
  <c r="F42" i="2"/>
  <c r="G42" i="2"/>
  <c r="H42" i="2"/>
  <c r="F43" i="2"/>
  <c r="G43" i="2"/>
  <c r="H43" i="2"/>
  <c r="F38" i="2"/>
  <c r="G38" i="2"/>
  <c r="H38" i="2"/>
  <c r="F36" i="2"/>
  <c r="G36" i="2"/>
  <c r="H36" i="2"/>
  <c r="F32" i="2"/>
  <c r="G32" i="2"/>
  <c r="H32" i="2"/>
  <c r="F33" i="2"/>
  <c r="G33" i="2"/>
  <c r="H33" i="2"/>
  <c r="F34" i="2"/>
  <c r="G34" i="2"/>
  <c r="H34" i="2"/>
  <c r="F30" i="2"/>
  <c r="G30" i="2"/>
  <c r="H30" i="2"/>
  <c r="F28" i="2"/>
  <c r="G28" i="2"/>
  <c r="H28" i="2"/>
  <c r="F25" i="2"/>
  <c r="G25" i="2"/>
  <c r="H25" i="2"/>
  <c r="F26" i="2"/>
  <c r="G26" i="2"/>
  <c r="H26" i="2"/>
  <c r="F23" i="2"/>
  <c r="G23" i="2"/>
  <c r="H23" i="2"/>
  <c r="F21" i="2"/>
  <c r="G21" i="2"/>
  <c r="H21" i="2"/>
  <c r="F19" i="2"/>
  <c r="G19" i="2"/>
  <c r="H19" i="2"/>
  <c r="F16" i="2"/>
  <c r="G16" i="2"/>
  <c r="H16" i="2"/>
  <c r="F14" i="2"/>
  <c r="G14" i="2"/>
  <c r="H14" i="2"/>
  <c r="F11" i="2"/>
  <c r="G11" i="2"/>
  <c r="H11" i="2"/>
  <c r="F12" i="2"/>
  <c r="G12" i="2"/>
  <c r="H12" i="2"/>
  <c r="F9" i="2"/>
  <c r="G9" i="2"/>
  <c r="H9" i="2"/>
  <c r="F8" i="2"/>
  <c r="G8" i="2"/>
  <c r="H8" i="2"/>
  <c r="F6" i="2"/>
  <c r="G6" i="2"/>
  <c r="H6" i="2"/>
  <c r="F4" i="2"/>
  <c r="G4" i="2"/>
  <c r="H4" i="2"/>
  <c r="F2" i="2"/>
  <c r="G2" i="2"/>
  <c r="H2" i="2"/>
  <c r="A432" i="7"/>
  <c r="F189" i="2"/>
  <c r="G189" i="2"/>
  <c r="H189" i="2"/>
  <c r="F198" i="2"/>
  <c r="G198" i="2"/>
  <c r="H198" i="2"/>
  <c r="F3" i="2"/>
  <c r="F5" i="2"/>
  <c r="F7" i="2"/>
  <c r="F10" i="2"/>
  <c r="F13" i="2"/>
  <c r="F15" i="2"/>
  <c r="F17" i="2"/>
  <c r="F18" i="2"/>
  <c r="F20" i="2"/>
  <c r="F22" i="2"/>
  <c r="F24" i="2"/>
  <c r="F27" i="2"/>
  <c r="F29" i="2"/>
  <c r="F31" i="2"/>
  <c r="F35" i="2"/>
  <c r="F37" i="2"/>
  <c r="F39" i="2"/>
  <c r="F44" i="2"/>
  <c r="F46" i="2"/>
  <c r="F49" i="2"/>
  <c r="F53" i="2"/>
  <c r="F55" i="2"/>
  <c r="F64" i="2"/>
  <c r="F66" i="2"/>
  <c r="F70" i="2"/>
  <c r="F75" i="2"/>
  <c r="F77" i="2"/>
  <c r="F79" i="2"/>
  <c r="F81" i="2"/>
  <c r="F83" i="2"/>
  <c r="F84" i="2"/>
  <c r="F85" i="2"/>
  <c r="F89" i="2"/>
  <c r="F91" i="2"/>
  <c r="F93" i="2"/>
  <c r="F95" i="2"/>
  <c r="F97" i="2"/>
  <c r="F99" i="2"/>
  <c r="F101" i="2"/>
  <c r="F103" i="2"/>
  <c r="F105" i="2"/>
  <c r="F107" i="2"/>
  <c r="F109" i="2"/>
  <c r="F111" i="2"/>
  <c r="F114" i="2"/>
  <c r="F116" i="2"/>
  <c r="F118" i="2"/>
  <c r="F120" i="2"/>
  <c r="F122" i="2"/>
  <c r="F125" i="2"/>
  <c r="F128" i="2"/>
  <c r="F130" i="2"/>
  <c r="F132" i="2"/>
  <c r="F134" i="2"/>
  <c r="F136" i="2"/>
  <c r="F140" i="2"/>
  <c r="F142" i="2"/>
  <c r="F144" i="2"/>
  <c r="F147" i="2"/>
  <c r="F149" i="2"/>
  <c r="F151" i="2"/>
  <c r="F159" i="2"/>
  <c r="F161" i="2"/>
  <c r="F163" i="2"/>
  <c r="F165" i="2"/>
  <c r="F167" i="2"/>
  <c r="F169" i="2"/>
  <c r="F172" i="2"/>
  <c r="F174" i="2"/>
  <c r="F177" i="2"/>
  <c r="F179" i="2"/>
  <c r="F182" i="2"/>
  <c r="F184" i="2"/>
  <c r="F186" i="2"/>
  <c r="F191" i="2"/>
  <c r="F193" i="2"/>
  <c r="F195" i="2"/>
  <c r="F199" i="2"/>
  <c r="F204" i="2"/>
  <c r="F206" i="2"/>
  <c r="F208" i="2"/>
  <c r="F210" i="2"/>
  <c r="F212" i="2"/>
  <c r="F214" i="2"/>
  <c r="F216" i="2"/>
  <c r="F218" i="2"/>
  <c r="F230" i="2"/>
  <c r="F232" i="2"/>
  <c r="G3" i="2"/>
  <c r="G5" i="2"/>
  <c r="G7" i="2"/>
  <c r="G10" i="2"/>
  <c r="G13" i="2"/>
  <c r="G15" i="2"/>
  <c r="G17" i="2"/>
  <c r="G18" i="2"/>
  <c r="G20" i="2"/>
  <c r="G22" i="2"/>
  <c r="G24" i="2"/>
  <c r="G27" i="2"/>
  <c r="G29" i="2"/>
  <c r="G31" i="2"/>
  <c r="G35" i="2"/>
  <c r="G37" i="2"/>
  <c r="G39" i="2"/>
  <c r="G44" i="2"/>
  <c r="G46" i="2"/>
  <c r="G49" i="2"/>
  <c r="G53" i="2"/>
  <c r="G55" i="2"/>
  <c r="G64" i="2"/>
  <c r="G66" i="2"/>
  <c r="G70" i="2"/>
  <c r="G75" i="2"/>
  <c r="G77" i="2"/>
  <c r="G79" i="2"/>
  <c r="G81" i="2"/>
  <c r="G83" i="2"/>
  <c r="G84" i="2"/>
  <c r="G85" i="2"/>
  <c r="G89" i="2"/>
  <c r="G91" i="2"/>
  <c r="G93" i="2"/>
  <c r="G95" i="2"/>
  <c r="G97" i="2"/>
  <c r="G99" i="2"/>
  <c r="G101" i="2"/>
  <c r="G103" i="2"/>
  <c r="G105" i="2"/>
  <c r="G107" i="2"/>
  <c r="G109" i="2"/>
  <c r="G111" i="2"/>
  <c r="G114" i="2"/>
  <c r="G116" i="2"/>
  <c r="G118" i="2"/>
  <c r="G120" i="2"/>
  <c r="G122" i="2"/>
  <c r="G125" i="2"/>
  <c r="G128" i="2"/>
  <c r="G130" i="2"/>
  <c r="G132" i="2"/>
  <c r="G134" i="2"/>
  <c r="G136" i="2"/>
  <c r="G140" i="2"/>
  <c r="G142" i="2"/>
  <c r="G144" i="2"/>
  <c r="G147" i="2"/>
  <c r="G149" i="2"/>
  <c r="G151" i="2"/>
  <c r="G159" i="2"/>
  <c r="G161" i="2"/>
  <c r="G163" i="2"/>
  <c r="G165" i="2"/>
  <c r="G167" i="2"/>
  <c r="G169" i="2"/>
  <c r="G172" i="2"/>
  <c r="G174" i="2"/>
  <c r="G177" i="2"/>
  <c r="G179" i="2"/>
  <c r="G182" i="2"/>
  <c r="G184" i="2"/>
  <c r="G186" i="2"/>
  <c r="G191" i="2"/>
  <c r="G193" i="2"/>
  <c r="G195" i="2"/>
  <c r="G199" i="2"/>
  <c r="G204" i="2"/>
  <c r="G206" i="2"/>
  <c r="G208" i="2"/>
  <c r="G210" i="2"/>
  <c r="G212" i="2"/>
  <c r="G214" i="2"/>
  <c r="G216" i="2"/>
  <c r="G218" i="2"/>
  <c r="G230" i="2"/>
  <c r="G232" i="2"/>
  <c r="H3" i="2"/>
  <c r="H5" i="2"/>
  <c r="H7" i="2"/>
  <c r="H10" i="2"/>
  <c r="H13" i="2"/>
  <c r="H15" i="2"/>
  <c r="H17" i="2"/>
  <c r="H18" i="2"/>
  <c r="H20" i="2"/>
  <c r="H22" i="2"/>
  <c r="H24" i="2"/>
  <c r="H27" i="2"/>
  <c r="H29" i="2"/>
  <c r="H31" i="2"/>
  <c r="H35" i="2"/>
  <c r="H37" i="2"/>
  <c r="H39" i="2"/>
  <c r="H44" i="2"/>
  <c r="H46" i="2"/>
  <c r="H49" i="2"/>
  <c r="H53" i="2"/>
  <c r="H55" i="2"/>
  <c r="H64" i="2"/>
  <c r="H66" i="2"/>
  <c r="H70" i="2"/>
  <c r="H75" i="2"/>
  <c r="H77" i="2"/>
  <c r="H79" i="2"/>
  <c r="H81" i="2"/>
  <c r="H83" i="2"/>
  <c r="H84" i="2"/>
  <c r="H85" i="2"/>
  <c r="H89" i="2"/>
  <c r="H91" i="2"/>
  <c r="H93" i="2"/>
  <c r="H95" i="2"/>
  <c r="H97" i="2"/>
  <c r="H99" i="2"/>
  <c r="H101" i="2"/>
  <c r="H103" i="2"/>
  <c r="H105" i="2"/>
  <c r="H107" i="2"/>
  <c r="H109" i="2"/>
  <c r="H111" i="2"/>
  <c r="H114" i="2"/>
  <c r="H116" i="2"/>
  <c r="H118" i="2"/>
  <c r="H120" i="2"/>
  <c r="H122" i="2"/>
  <c r="H125" i="2"/>
  <c r="H128" i="2"/>
  <c r="H130" i="2"/>
  <c r="H132" i="2"/>
  <c r="H134" i="2"/>
  <c r="H136" i="2"/>
  <c r="H140" i="2"/>
  <c r="H142" i="2"/>
  <c r="H144" i="2"/>
  <c r="H147" i="2"/>
  <c r="H149" i="2"/>
  <c r="H151" i="2"/>
  <c r="H159" i="2"/>
  <c r="H161" i="2"/>
  <c r="H163" i="2"/>
  <c r="H165" i="2"/>
  <c r="H167" i="2"/>
  <c r="H169" i="2"/>
  <c r="H172" i="2"/>
  <c r="H174" i="2"/>
  <c r="H177" i="2"/>
  <c r="H179" i="2"/>
  <c r="H182" i="2"/>
  <c r="H184" i="2"/>
  <c r="H186" i="2"/>
  <c r="H191" i="2"/>
  <c r="H193" i="2"/>
  <c r="H195" i="2"/>
  <c r="H199" i="2"/>
  <c r="H204" i="2"/>
  <c r="H206" i="2"/>
  <c r="H208" i="2"/>
  <c r="H210" i="2"/>
  <c r="H212" i="2"/>
  <c r="H214" i="2"/>
  <c r="H216" i="2"/>
  <c r="H218" i="2"/>
  <c r="H230" i="2"/>
  <c r="H232" i="2"/>
  <c r="D127" i="8" l="1"/>
  <c r="D272" i="8"/>
  <c r="I223" i="2"/>
  <c r="K223" i="2"/>
  <c r="J223" i="2"/>
  <c r="K2" i="2"/>
  <c r="I29" i="2"/>
  <c r="I28" i="2"/>
  <c r="I5" i="2"/>
  <c r="I220" i="2"/>
  <c r="I4" i="2"/>
  <c r="I185" i="2"/>
  <c r="J71" i="2"/>
  <c r="I173" i="2"/>
  <c r="J106" i="2"/>
  <c r="K11" i="2"/>
  <c r="I172" i="2"/>
  <c r="J118" i="2"/>
  <c r="I113" i="2"/>
  <c r="J119" i="2"/>
  <c r="K48" i="2"/>
  <c r="I101" i="2"/>
  <c r="J143" i="2"/>
  <c r="I100" i="2"/>
  <c r="I76" i="2"/>
  <c r="I41" i="2"/>
  <c r="K108" i="2"/>
  <c r="J202" i="2"/>
  <c r="J227" i="2"/>
  <c r="J239" i="2"/>
  <c r="J34" i="2"/>
  <c r="K204" i="2"/>
  <c r="J46" i="2"/>
  <c r="K120" i="2"/>
  <c r="I148" i="2"/>
  <c r="J47" i="2"/>
  <c r="I234" i="2"/>
  <c r="I161" i="2"/>
  <c r="I89" i="2"/>
  <c r="I17" i="2"/>
  <c r="J58" i="2"/>
  <c r="J130" i="2"/>
  <c r="K96" i="2"/>
  <c r="I233" i="2"/>
  <c r="I160" i="2"/>
  <c r="I88" i="2"/>
  <c r="I16" i="2"/>
  <c r="J59" i="2"/>
  <c r="J131" i="2"/>
  <c r="K229" i="2"/>
  <c r="K84" i="2"/>
  <c r="I221" i="2"/>
  <c r="I149" i="2"/>
  <c r="I77" i="2"/>
  <c r="J70" i="2"/>
  <c r="J142" i="2"/>
  <c r="K216" i="2"/>
  <c r="K72" i="2"/>
  <c r="K60" i="2"/>
  <c r="I209" i="2"/>
  <c r="I137" i="2"/>
  <c r="I65" i="2"/>
  <c r="J10" i="2"/>
  <c r="J82" i="2"/>
  <c r="J154" i="2"/>
  <c r="K192" i="2"/>
  <c r="K23" i="2"/>
  <c r="K35" i="2"/>
  <c r="K47" i="2"/>
  <c r="K59" i="2"/>
  <c r="K71" i="2"/>
  <c r="K83" i="2"/>
  <c r="K95" i="2"/>
  <c r="K107" i="2"/>
  <c r="K119" i="2"/>
  <c r="K131" i="2"/>
  <c r="K143" i="2"/>
  <c r="K155" i="2"/>
  <c r="K167" i="2"/>
  <c r="K179" i="2"/>
  <c r="K191" i="2"/>
  <c r="K203" i="2"/>
  <c r="K215" i="2"/>
  <c r="K228" i="2"/>
  <c r="J228" i="2"/>
  <c r="J215" i="2"/>
  <c r="J203" i="2"/>
  <c r="J191" i="2"/>
  <c r="J179" i="2"/>
  <c r="J167" i="2"/>
  <c r="J155" i="2"/>
  <c r="I208" i="2"/>
  <c r="I136" i="2"/>
  <c r="I64" i="2"/>
  <c r="J11" i="2"/>
  <c r="J83" i="2"/>
  <c r="J166" i="2"/>
  <c r="K180" i="2"/>
  <c r="K36" i="2"/>
  <c r="I197" i="2"/>
  <c r="I125" i="2"/>
  <c r="I53" i="2"/>
  <c r="J22" i="2"/>
  <c r="J94" i="2"/>
  <c r="J178" i="2"/>
  <c r="K168" i="2"/>
  <c r="K24" i="2"/>
  <c r="I196" i="2"/>
  <c r="I124" i="2"/>
  <c r="I52" i="2"/>
  <c r="J23" i="2"/>
  <c r="J95" i="2"/>
  <c r="J190" i="2"/>
  <c r="K156" i="2"/>
  <c r="K12" i="2"/>
  <c r="K144" i="2"/>
  <c r="K13" i="2"/>
  <c r="I184" i="2"/>
  <c r="I112" i="2"/>
  <c r="I40" i="2"/>
  <c r="J35" i="2"/>
  <c r="J107" i="2"/>
  <c r="J214" i="2"/>
  <c r="K132" i="2"/>
  <c r="I232" i="2"/>
  <c r="I219" i="2"/>
  <c r="I207" i="2"/>
  <c r="I195" i="2"/>
  <c r="I183" i="2"/>
  <c r="I171" i="2"/>
  <c r="I159" i="2"/>
  <c r="I147" i="2"/>
  <c r="I135" i="2"/>
  <c r="I123" i="2"/>
  <c r="I111" i="2"/>
  <c r="I99" i="2"/>
  <c r="I87" i="2"/>
  <c r="I75" i="2"/>
  <c r="I63" i="2"/>
  <c r="I51" i="2"/>
  <c r="I39" i="2"/>
  <c r="I27" i="2"/>
  <c r="I15" i="2"/>
  <c r="I3" i="2"/>
  <c r="J12" i="2"/>
  <c r="J24" i="2"/>
  <c r="J36" i="2"/>
  <c r="J48" i="2"/>
  <c r="J60" i="2"/>
  <c r="J72" i="2"/>
  <c r="J84" i="2"/>
  <c r="J96" i="2"/>
  <c r="J108" i="2"/>
  <c r="J120" i="2"/>
  <c r="J132" i="2"/>
  <c r="J144" i="2"/>
  <c r="J156" i="2"/>
  <c r="J168" i="2"/>
  <c r="J180" i="2"/>
  <c r="J192" i="2"/>
  <c r="J204" i="2"/>
  <c r="J216" i="2"/>
  <c r="J229" i="2"/>
  <c r="K239" i="2"/>
  <c r="K227" i="2"/>
  <c r="K214" i="2"/>
  <c r="K202" i="2"/>
  <c r="K190" i="2"/>
  <c r="K178" i="2"/>
  <c r="K166" i="2"/>
  <c r="K154" i="2"/>
  <c r="K142" i="2"/>
  <c r="K130" i="2"/>
  <c r="K118" i="2"/>
  <c r="K106" i="2"/>
  <c r="K94" i="2"/>
  <c r="K82" i="2"/>
  <c r="K70" i="2"/>
  <c r="K58" i="2"/>
  <c r="K46" i="2"/>
  <c r="K34" i="2"/>
  <c r="K22" i="2"/>
  <c r="K10" i="2"/>
  <c r="I231" i="2"/>
  <c r="I218" i="2"/>
  <c r="I206" i="2"/>
  <c r="I194" i="2"/>
  <c r="I182" i="2"/>
  <c r="I170" i="2"/>
  <c r="I158" i="2"/>
  <c r="I146" i="2"/>
  <c r="I134" i="2"/>
  <c r="I122" i="2"/>
  <c r="I110" i="2"/>
  <c r="I98" i="2"/>
  <c r="I86" i="2"/>
  <c r="I74" i="2"/>
  <c r="I62" i="2"/>
  <c r="I50" i="2"/>
  <c r="I38" i="2"/>
  <c r="I26" i="2"/>
  <c r="I14" i="2"/>
  <c r="I2" i="2"/>
  <c r="J13" i="2"/>
  <c r="J25" i="2"/>
  <c r="J37" i="2"/>
  <c r="J49" i="2"/>
  <c r="J61" i="2"/>
  <c r="J73" i="2"/>
  <c r="J85" i="2"/>
  <c r="J97" i="2"/>
  <c r="J109" i="2"/>
  <c r="J121" i="2"/>
  <c r="J133" i="2"/>
  <c r="J145" i="2"/>
  <c r="J157" i="2"/>
  <c r="J169" i="2"/>
  <c r="J181" i="2"/>
  <c r="J193" i="2"/>
  <c r="J205" i="2"/>
  <c r="J217" i="2"/>
  <c r="J230" i="2"/>
  <c r="K238" i="2"/>
  <c r="K226" i="2"/>
  <c r="K213" i="2"/>
  <c r="K201" i="2"/>
  <c r="K189" i="2"/>
  <c r="K177" i="2"/>
  <c r="K165" i="2"/>
  <c r="K153" i="2"/>
  <c r="K141" i="2"/>
  <c r="K129" i="2"/>
  <c r="K117" i="2"/>
  <c r="K105" i="2"/>
  <c r="K93" i="2"/>
  <c r="K81" i="2"/>
  <c r="K69" i="2"/>
  <c r="K57" i="2"/>
  <c r="K45" i="2"/>
  <c r="K33" i="2"/>
  <c r="K21" i="2"/>
  <c r="K9" i="2"/>
  <c r="I230" i="2"/>
  <c r="I217" i="2"/>
  <c r="I205" i="2"/>
  <c r="I193" i="2"/>
  <c r="I181" i="2"/>
  <c r="I169" i="2"/>
  <c r="I157" i="2"/>
  <c r="I145" i="2"/>
  <c r="I133" i="2"/>
  <c r="I121" i="2"/>
  <c r="I109" i="2"/>
  <c r="I97" i="2"/>
  <c r="I85" i="2"/>
  <c r="I73" i="2"/>
  <c r="I61" i="2"/>
  <c r="I49" i="2"/>
  <c r="I37" i="2"/>
  <c r="I25" i="2"/>
  <c r="I13" i="2"/>
  <c r="J2" i="2"/>
  <c r="J14" i="2"/>
  <c r="J26" i="2"/>
  <c r="J38" i="2"/>
  <c r="J50" i="2"/>
  <c r="J62" i="2"/>
  <c r="J74" i="2"/>
  <c r="J86" i="2"/>
  <c r="J98" i="2"/>
  <c r="J110" i="2"/>
  <c r="J122" i="2"/>
  <c r="J134" i="2"/>
  <c r="J146" i="2"/>
  <c r="J158" i="2"/>
  <c r="J170" i="2"/>
  <c r="J182" i="2"/>
  <c r="J194" i="2"/>
  <c r="J206" i="2"/>
  <c r="J218" i="2"/>
  <c r="J231" i="2"/>
  <c r="K237" i="2"/>
  <c r="K225" i="2"/>
  <c r="K212" i="2"/>
  <c r="K200" i="2"/>
  <c r="K188" i="2"/>
  <c r="K176" i="2"/>
  <c r="K164" i="2"/>
  <c r="K152" i="2"/>
  <c r="K140" i="2"/>
  <c r="K128" i="2"/>
  <c r="K116" i="2"/>
  <c r="K104" i="2"/>
  <c r="K92" i="2"/>
  <c r="K80" i="2"/>
  <c r="K68" i="2"/>
  <c r="K56" i="2"/>
  <c r="K44" i="2"/>
  <c r="K32" i="2"/>
  <c r="K20" i="2"/>
  <c r="K8" i="2"/>
  <c r="I229" i="2"/>
  <c r="I216" i="2"/>
  <c r="I204" i="2"/>
  <c r="I192" i="2"/>
  <c r="I180" i="2"/>
  <c r="I168" i="2"/>
  <c r="I156" i="2"/>
  <c r="I144" i="2"/>
  <c r="I132" i="2"/>
  <c r="I120" i="2"/>
  <c r="I108" i="2"/>
  <c r="I96" i="2"/>
  <c r="I84" i="2"/>
  <c r="I72" i="2"/>
  <c r="I60" i="2"/>
  <c r="I48" i="2"/>
  <c r="I36" i="2"/>
  <c r="I24" i="2"/>
  <c r="I12" i="2"/>
  <c r="J3" i="2"/>
  <c r="J15" i="2"/>
  <c r="J27" i="2"/>
  <c r="J39" i="2"/>
  <c r="J51" i="2"/>
  <c r="J63" i="2"/>
  <c r="J75" i="2"/>
  <c r="J87" i="2"/>
  <c r="J99" i="2"/>
  <c r="J111" i="2"/>
  <c r="J123" i="2"/>
  <c r="J135" i="2"/>
  <c r="J147" i="2"/>
  <c r="J159" i="2"/>
  <c r="J171" i="2"/>
  <c r="J183" i="2"/>
  <c r="J195" i="2"/>
  <c r="J207" i="2"/>
  <c r="J219" i="2"/>
  <c r="J232" i="2"/>
  <c r="K236" i="2"/>
  <c r="K224" i="2"/>
  <c r="K211" i="2"/>
  <c r="K199" i="2"/>
  <c r="K187" i="2"/>
  <c r="K175" i="2"/>
  <c r="K163" i="2"/>
  <c r="K151" i="2"/>
  <c r="K139" i="2"/>
  <c r="K127" i="2"/>
  <c r="K115" i="2"/>
  <c r="K103" i="2"/>
  <c r="K91" i="2"/>
  <c r="K79" i="2"/>
  <c r="K67" i="2"/>
  <c r="K55" i="2"/>
  <c r="K43" i="2"/>
  <c r="K31" i="2"/>
  <c r="K19" i="2"/>
  <c r="K7" i="2"/>
  <c r="I228" i="2"/>
  <c r="I215" i="2"/>
  <c r="I203" i="2"/>
  <c r="I191" i="2"/>
  <c r="I179" i="2"/>
  <c r="I167" i="2"/>
  <c r="I155" i="2"/>
  <c r="I143" i="2"/>
  <c r="I131" i="2"/>
  <c r="I119" i="2"/>
  <c r="I107" i="2"/>
  <c r="I95" i="2"/>
  <c r="I83" i="2"/>
  <c r="I71" i="2"/>
  <c r="I59" i="2"/>
  <c r="I47" i="2"/>
  <c r="I35" i="2"/>
  <c r="I23" i="2"/>
  <c r="I11" i="2"/>
  <c r="J4" i="2"/>
  <c r="J16" i="2"/>
  <c r="J28" i="2"/>
  <c r="J40" i="2"/>
  <c r="J52" i="2"/>
  <c r="J64" i="2"/>
  <c r="J76" i="2"/>
  <c r="J88" i="2"/>
  <c r="J100" i="2"/>
  <c r="J112" i="2"/>
  <c r="J124" i="2"/>
  <c r="J136" i="2"/>
  <c r="J148" i="2"/>
  <c r="J160" i="2"/>
  <c r="J172" i="2"/>
  <c r="J184" i="2"/>
  <c r="J196" i="2"/>
  <c r="J208" i="2"/>
  <c r="J220" i="2"/>
  <c r="J233" i="2"/>
  <c r="K235" i="2"/>
  <c r="K222" i="2"/>
  <c r="K210" i="2"/>
  <c r="K198" i="2"/>
  <c r="K186" i="2"/>
  <c r="K174" i="2"/>
  <c r="K162" i="2"/>
  <c r="K150" i="2"/>
  <c r="K138" i="2"/>
  <c r="K126" i="2"/>
  <c r="K114" i="2"/>
  <c r="K102" i="2"/>
  <c r="K90" i="2"/>
  <c r="K78" i="2"/>
  <c r="K66" i="2"/>
  <c r="K54" i="2"/>
  <c r="K42" i="2"/>
  <c r="K30" i="2"/>
  <c r="K18" i="2"/>
  <c r="K6" i="2"/>
  <c r="I239" i="2"/>
  <c r="I227" i="2"/>
  <c r="I214" i="2"/>
  <c r="I202" i="2"/>
  <c r="I190" i="2"/>
  <c r="I178" i="2"/>
  <c r="I166" i="2"/>
  <c r="I154" i="2"/>
  <c r="I142" i="2"/>
  <c r="I130" i="2"/>
  <c r="I118" i="2"/>
  <c r="I106" i="2"/>
  <c r="I94" i="2"/>
  <c r="I82" i="2"/>
  <c r="I70" i="2"/>
  <c r="I58" i="2"/>
  <c r="I46" i="2"/>
  <c r="I34" i="2"/>
  <c r="I22" i="2"/>
  <c r="I10" i="2"/>
  <c r="J5" i="2"/>
  <c r="J17" i="2"/>
  <c r="J29" i="2"/>
  <c r="J41" i="2"/>
  <c r="J53" i="2"/>
  <c r="J65" i="2"/>
  <c r="J77" i="2"/>
  <c r="J89" i="2"/>
  <c r="J101" i="2"/>
  <c r="J113" i="2"/>
  <c r="J125" i="2"/>
  <c r="J137" i="2"/>
  <c r="J149" i="2"/>
  <c r="J161" i="2"/>
  <c r="J173" i="2"/>
  <c r="J185" i="2"/>
  <c r="J197" i="2"/>
  <c r="J209" i="2"/>
  <c r="J221" i="2"/>
  <c r="J234" i="2"/>
  <c r="K234" i="2"/>
  <c r="K221" i="2"/>
  <c r="K209" i="2"/>
  <c r="K197" i="2"/>
  <c r="K185" i="2"/>
  <c r="K173" i="2"/>
  <c r="K161" i="2"/>
  <c r="K149" i="2"/>
  <c r="K137" i="2"/>
  <c r="K125" i="2"/>
  <c r="K113" i="2"/>
  <c r="K101" i="2"/>
  <c r="K89" i="2"/>
  <c r="K77" i="2"/>
  <c r="K65" i="2"/>
  <c r="K53" i="2"/>
  <c r="K41" i="2"/>
  <c r="K29" i="2"/>
  <c r="K17" i="2"/>
  <c r="K5" i="2"/>
  <c r="I238" i="2"/>
  <c r="I226" i="2"/>
  <c r="I213" i="2"/>
  <c r="I201" i="2"/>
  <c r="I189" i="2"/>
  <c r="I177" i="2"/>
  <c r="I165" i="2"/>
  <c r="I153" i="2"/>
  <c r="I141" i="2"/>
  <c r="I129" i="2"/>
  <c r="I117" i="2"/>
  <c r="I105" i="2"/>
  <c r="I93" i="2"/>
  <c r="I81" i="2"/>
  <c r="I69" i="2"/>
  <c r="I57" i="2"/>
  <c r="I45" i="2"/>
  <c r="I33" i="2"/>
  <c r="I21" i="2"/>
  <c r="I9" i="2"/>
  <c r="J6" i="2"/>
  <c r="J18" i="2"/>
  <c r="J30" i="2"/>
  <c r="J42" i="2"/>
  <c r="J54" i="2"/>
  <c r="J66" i="2"/>
  <c r="J78" i="2"/>
  <c r="J90" i="2"/>
  <c r="J102" i="2"/>
  <c r="J114" i="2"/>
  <c r="J126" i="2"/>
  <c r="J138" i="2"/>
  <c r="J150" i="2"/>
  <c r="J162" i="2"/>
  <c r="J174" i="2"/>
  <c r="J186" i="2"/>
  <c r="J198" i="2"/>
  <c r="J210" i="2"/>
  <c r="J222" i="2"/>
  <c r="J235" i="2"/>
  <c r="K233" i="2"/>
  <c r="K220" i="2"/>
  <c r="K208" i="2"/>
  <c r="K196" i="2"/>
  <c r="K184" i="2"/>
  <c r="K172" i="2"/>
  <c r="K160" i="2"/>
  <c r="K148" i="2"/>
  <c r="K136" i="2"/>
  <c r="K124" i="2"/>
  <c r="K112" i="2"/>
  <c r="K100" i="2"/>
  <c r="K88" i="2"/>
  <c r="K76" i="2"/>
  <c r="K64" i="2"/>
  <c r="K52" i="2"/>
  <c r="K40" i="2"/>
  <c r="K28" i="2"/>
  <c r="K16" i="2"/>
  <c r="K4" i="2"/>
  <c r="I237" i="2"/>
  <c r="I225" i="2"/>
  <c r="I212" i="2"/>
  <c r="I200" i="2"/>
  <c r="I188" i="2"/>
  <c r="I176" i="2"/>
  <c r="I164" i="2"/>
  <c r="I152" i="2"/>
  <c r="I140" i="2"/>
  <c r="I128" i="2"/>
  <c r="I116" i="2"/>
  <c r="I104" i="2"/>
  <c r="I92" i="2"/>
  <c r="I80" i="2"/>
  <c r="I68" i="2"/>
  <c r="I56" i="2"/>
  <c r="I44" i="2"/>
  <c r="I32" i="2"/>
  <c r="I20" i="2"/>
  <c r="I8" i="2"/>
  <c r="J7" i="2"/>
  <c r="J19" i="2"/>
  <c r="J31" i="2"/>
  <c r="J43" i="2"/>
  <c r="J55" i="2"/>
  <c r="J67" i="2"/>
  <c r="J79" i="2"/>
  <c r="J91" i="2"/>
  <c r="J103" i="2"/>
  <c r="J115" i="2"/>
  <c r="J127" i="2"/>
  <c r="J139" i="2"/>
  <c r="J151" i="2"/>
  <c r="J163" i="2"/>
  <c r="J175" i="2"/>
  <c r="J187" i="2"/>
  <c r="J199" i="2"/>
  <c r="J211" i="2"/>
  <c r="J224" i="2"/>
  <c r="J236" i="2"/>
  <c r="K232" i="2"/>
  <c r="K219" i="2"/>
  <c r="K207" i="2"/>
  <c r="K195" i="2"/>
  <c r="K183" i="2"/>
  <c r="K171" i="2"/>
  <c r="K159" i="2"/>
  <c r="K147" i="2"/>
  <c r="K135" i="2"/>
  <c r="K123" i="2"/>
  <c r="K111" i="2"/>
  <c r="K99" i="2"/>
  <c r="K87" i="2"/>
  <c r="K75" i="2"/>
  <c r="K63" i="2"/>
  <c r="K51" i="2"/>
  <c r="K39" i="2"/>
  <c r="K27" i="2"/>
  <c r="K15" i="2"/>
  <c r="K3" i="2"/>
  <c r="I236" i="2"/>
  <c r="I224" i="2"/>
  <c r="I211" i="2"/>
  <c r="I199" i="2"/>
  <c r="I187" i="2"/>
  <c r="I175" i="2"/>
  <c r="I163" i="2"/>
  <c r="I151" i="2"/>
  <c r="I139" i="2"/>
  <c r="I127" i="2"/>
  <c r="I115" i="2"/>
  <c r="I103" i="2"/>
  <c r="I91" i="2"/>
  <c r="I79" i="2"/>
  <c r="I67" i="2"/>
  <c r="I55" i="2"/>
  <c r="I43" i="2"/>
  <c r="I31" i="2"/>
  <c r="I19" i="2"/>
  <c r="I7" i="2"/>
  <c r="J8" i="2"/>
  <c r="J20" i="2"/>
  <c r="J32" i="2"/>
  <c r="J44" i="2"/>
  <c r="J56" i="2"/>
  <c r="J68" i="2"/>
  <c r="J80" i="2"/>
  <c r="J92" i="2"/>
  <c r="J104" i="2"/>
  <c r="J116" i="2"/>
  <c r="J128" i="2"/>
  <c r="J140" i="2"/>
  <c r="J152" i="2"/>
  <c r="J164" i="2"/>
  <c r="J176" i="2"/>
  <c r="J188" i="2"/>
  <c r="J200" i="2"/>
  <c r="J212" i="2"/>
  <c r="J225" i="2"/>
  <c r="J237" i="2"/>
  <c r="K231" i="2"/>
  <c r="K218" i="2"/>
  <c r="K206" i="2"/>
  <c r="K194" i="2"/>
  <c r="K182" i="2"/>
  <c r="K170" i="2"/>
  <c r="K158" i="2"/>
  <c r="K146" i="2"/>
  <c r="K134" i="2"/>
  <c r="K122" i="2"/>
  <c r="K110" i="2"/>
  <c r="K98" i="2"/>
  <c r="K86" i="2"/>
  <c r="K74" i="2"/>
  <c r="K62" i="2"/>
  <c r="K50" i="2"/>
  <c r="K38" i="2"/>
  <c r="K26" i="2"/>
  <c r="K14" i="2"/>
  <c r="I235" i="2"/>
  <c r="I222" i="2"/>
  <c r="I210" i="2"/>
  <c r="I198" i="2"/>
  <c r="I186" i="2"/>
  <c r="I174" i="2"/>
  <c r="I162" i="2"/>
  <c r="I150" i="2"/>
  <c r="I138" i="2"/>
  <c r="I126" i="2"/>
  <c r="I114" i="2"/>
  <c r="I102" i="2"/>
  <c r="I90" i="2"/>
  <c r="I78" i="2"/>
  <c r="I66" i="2"/>
  <c r="I54" i="2"/>
  <c r="I42" i="2"/>
  <c r="I30" i="2"/>
  <c r="I18" i="2"/>
  <c r="I6" i="2"/>
  <c r="J9" i="2"/>
  <c r="J21" i="2"/>
  <c r="J33" i="2"/>
  <c r="J45" i="2"/>
  <c r="J57" i="2"/>
  <c r="J69" i="2"/>
  <c r="J81" i="2"/>
  <c r="J93" i="2"/>
  <c r="J105" i="2"/>
  <c r="J117" i="2"/>
  <c r="J129" i="2"/>
  <c r="J141" i="2"/>
  <c r="J153" i="2"/>
  <c r="J165" i="2"/>
  <c r="J177" i="2"/>
  <c r="J189" i="2"/>
  <c r="J201" i="2"/>
  <c r="J213" i="2"/>
  <c r="J226" i="2"/>
  <c r="J238" i="2"/>
  <c r="K230" i="2"/>
  <c r="K217" i="2"/>
  <c r="K205" i="2"/>
  <c r="K193" i="2"/>
  <c r="K181" i="2"/>
  <c r="K169" i="2"/>
  <c r="K157" i="2"/>
  <c r="K145" i="2"/>
  <c r="K133" i="2"/>
  <c r="K121" i="2"/>
  <c r="K109" i="2"/>
  <c r="K97" i="2"/>
  <c r="K85" i="2"/>
  <c r="K73" i="2"/>
  <c r="K61" i="2"/>
  <c r="K49" i="2"/>
  <c r="K37" i="2"/>
  <c r="K25" i="2"/>
  <c r="D100" i="8"/>
  <c r="D279" i="8"/>
  <c r="D120" i="8"/>
  <c r="D130" i="8"/>
  <c r="D70" i="8"/>
  <c r="D28" i="8"/>
  <c r="D44" i="8"/>
  <c r="D99" i="8"/>
  <c r="D108" i="8"/>
  <c r="D105" i="8"/>
  <c r="D121" i="8"/>
  <c r="D24" i="8"/>
  <c r="D52" i="8"/>
  <c r="D3" i="8"/>
  <c r="D135" i="8"/>
  <c r="D231" i="8"/>
  <c r="D202" i="8"/>
  <c r="D153" i="8"/>
  <c r="D268" i="8"/>
  <c r="D251" i="8"/>
  <c r="D196" i="8"/>
  <c r="D158" i="8"/>
  <c r="D147" i="8"/>
  <c r="D204" i="8"/>
  <c r="D162" i="8"/>
  <c r="D171" i="8"/>
  <c r="D257" i="8"/>
  <c r="D43" i="8"/>
  <c r="D81" i="8"/>
  <c r="D103" i="8"/>
  <c r="D138" i="8"/>
  <c r="D285" i="8"/>
  <c r="D235" i="8"/>
  <c r="D239" i="8"/>
  <c r="D185" i="8"/>
  <c r="D252" i="8"/>
  <c r="D274" i="8"/>
  <c r="D277" i="8"/>
  <c r="D155" i="8"/>
  <c r="D207" i="8"/>
  <c r="D198" i="8"/>
  <c r="D172" i="8"/>
  <c r="D264" i="8"/>
  <c r="D41" i="8"/>
  <c r="D82" i="8"/>
  <c r="D97" i="8"/>
  <c r="D9" i="8"/>
  <c r="D12" i="8"/>
  <c r="D115" i="8"/>
  <c r="D83" i="8"/>
  <c r="D68" i="8"/>
  <c r="D79" i="8"/>
  <c r="D101" i="8"/>
  <c r="D111" i="8"/>
  <c r="D145" i="8"/>
  <c r="D142" i="8"/>
  <c r="D104" i="8"/>
  <c r="D45" i="8"/>
  <c r="D237" i="8"/>
  <c r="D225" i="8"/>
  <c r="D254" i="8"/>
  <c r="D150" i="8"/>
  <c r="D166" i="8"/>
  <c r="D243" i="8"/>
  <c r="D262" i="8"/>
  <c r="D168" i="8"/>
  <c r="D176" i="8"/>
  <c r="D216" i="8"/>
  <c r="D195" i="8"/>
  <c r="D160" i="8"/>
  <c r="D85" i="8"/>
  <c r="D54" i="8"/>
  <c r="D72" i="8"/>
  <c r="D14" i="8"/>
  <c r="D93" i="8"/>
  <c r="D22" i="8"/>
  <c r="D91" i="8"/>
  <c r="D65" i="8"/>
  <c r="D102" i="8"/>
  <c r="D29" i="8"/>
  <c r="D30" i="8"/>
  <c r="D144" i="8"/>
  <c r="D49" i="8"/>
  <c r="D136" i="8"/>
  <c r="D233" i="8"/>
  <c r="D164" i="8"/>
  <c r="D218" i="8"/>
  <c r="D184" i="8"/>
  <c r="D165" i="8"/>
  <c r="D258" i="8"/>
  <c r="D212" i="8"/>
  <c r="D178" i="8"/>
  <c r="D206" i="8"/>
  <c r="D201" i="8"/>
  <c r="D183" i="8"/>
  <c r="D149" i="8"/>
  <c r="D141" i="8"/>
  <c r="D89" i="8"/>
  <c r="D84" i="8"/>
  <c r="D77" i="8"/>
  <c r="D58" i="8"/>
  <c r="D42" i="8"/>
  <c r="D11" i="8"/>
  <c r="D143" i="8"/>
  <c r="D48" i="8"/>
  <c r="D126" i="8"/>
  <c r="D55" i="8"/>
  <c r="D69" i="8"/>
  <c r="D134" i="8"/>
  <c r="D182" i="8"/>
  <c r="D220" i="8"/>
  <c r="D221" i="8"/>
  <c r="D170" i="8"/>
  <c r="D191" i="8"/>
  <c r="D208" i="8"/>
  <c r="D282" i="8"/>
  <c r="D177" i="8"/>
  <c r="D205" i="8"/>
  <c r="D232" i="8"/>
  <c r="D163" i="8"/>
  <c r="D263" i="8"/>
  <c r="D86" i="8"/>
  <c r="D57" i="8"/>
  <c r="D8" i="8"/>
  <c r="D123" i="8"/>
  <c r="D106" i="8"/>
  <c r="D51" i="8"/>
  <c r="D13" i="8"/>
  <c r="D2" i="8"/>
  <c r="D59" i="8"/>
  <c r="D17" i="8"/>
  <c r="D26" i="8"/>
  <c r="D112" i="8"/>
  <c r="D284" i="8"/>
  <c r="D161" i="8"/>
  <c r="D267" i="8"/>
  <c r="D209" i="8"/>
  <c r="D240" i="8"/>
  <c r="D261" i="8"/>
  <c r="D223" i="8"/>
  <c r="D255" i="8"/>
  <c r="D211" i="8"/>
  <c r="D269" i="8"/>
  <c r="D180" i="8"/>
  <c r="D241" i="8"/>
  <c r="D140" i="8"/>
  <c r="D90" i="8"/>
  <c r="D94" i="8"/>
  <c r="D40" i="8"/>
  <c r="D107" i="8"/>
  <c r="D129" i="8"/>
  <c r="D132" i="8"/>
  <c r="D10" i="8"/>
  <c r="D62" i="8"/>
  <c r="D53" i="8"/>
  <c r="D27" i="8"/>
  <c r="D119" i="8"/>
  <c r="D276" i="8"/>
  <c r="D259" i="8"/>
  <c r="D181" i="8"/>
  <c r="D219" i="8"/>
  <c r="D192" i="8"/>
  <c r="D151" i="8"/>
  <c r="D152" i="8"/>
  <c r="D291" i="8"/>
  <c r="D273" i="8"/>
  <c r="D270" i="8"/>
  <c r="D179" i="8"/>
  <c r="D278" i="8"/>
  <c r="D92" i="8"/>
  <c r="D80" i="8"/>
  <c r="D109" i="8"/>
  <c r="D5" i="8"/>
  <c r="D21" i="8"/>
  <c r="D98" i="8"/>
  <c r="D117" i="8"/>
  <c r="D23" i="8"/>
  <c r="D31" i="8"/>
  <c r="D71" i="8"/>
  <c r="D50" i="8"/>
  <c r="D15" i="8"/>
  <c r="D275" i="8"/>
  <c r="D215" i="8"/>
  <c r="D173" i="8"/>
  <c r="D189" i="8"/>
  <c r="D244" i="8"/>
  <c r="D253" i="8"/>
  <c r="D250" i="8"/>
  <c r="D266" i="8"/>
  <c r="D169" i="8"/>
  <c r="D197" i="8"/>
  <c r="D148" i="8"/>
  <c r="D280" i="8"/>
  <c r="D88" i="8"/>
  <c r="D19" i="8"/>
  <c r="D73" i="8"/>
  <c r="D39" i="8"/>
  <c r="D20" i="8"/>
  <c r="D113" i="8"/>
  <c r="D67" i="8"/>
  <c r="D33" i="8"/>
  <c r="D61" i="8"/>
  <c r="D56" i="8"/>
  <c r="D38" i="8"/>
  <c r="D4" i="8"/>
  <c r="D265" i="8"/>
  <c r="D186" i="8"/>
  <c r="D286" i="8"/>
  <c r="D188" i="8"/>
  <c r="D230" i="8"/>
  <c r="D227" i="8"/>
  <c r="D226" i="8"/>
  <c r="D248" i="8"/>
  <c r="D283" i="8"/>
  <c r="D245" i="8"/>
  <c r="D199" i="8"/>
  <c r="D242" i="8"/>
  <c r="D37" i="8"/>
  <c r="D75" i="8"/>
  <c r="D76" i="8"/>
  <c r="D25" i="8"/>
  <c r="D46" i="8"/>
  <c r="D63" i="8"/>
  <c r="D137" i="8"/>
  <c r="D32" i="8"/>
  <c r="D60" i="8"/>
  <c r="D87" i="8"/>
  <c r="D18" i="8"/>
  <c r="D118" i="8"/>
  <c r="D154" i="8"/>
  <c r="D157" i="8"/>
  <c r="D260" i="8"/>
  <c r="D228" i="8"/>
  <c r="D213" i="8"/>
  <c r="D224" i="8"/>
  <c r="D246" i="8"/>
  <c r="D256" i="8"/>
  <c r="D290" i="8"/>
  <c r="D287" i="8"/>
  <c r="D249" i="8"/>
  <c r="D190" i="8"/>
  <c r="D139" i="8"/>
  <c r="D16" i="8"/>
  <c r="D122" i="8"/>
  <c r="D64" i="8"/>
  <c r="D95" i="8"/>
  <c r="D116" i="8"/>
  <c r="D78" i="8"/>
  <c r="D110" i="8"/>
  <c r="D66" i="8"/>
  <c r="D124" i="8"/>
  <c r="D35" i="8"/>
  <c r="D96" i="8"/>
  <c r="D217" i="8"/>
  <c r="D159" i="8"/>
  <c r="D238" i="8"/>
  <c r="D167" i="8"/>
  <c r="D236" i="8"/>
  <c r="D210" i="8"/>
  <c r="D247" i="8"/>
  <c r="D174" i="8"/>
  <c r="D175" i="8"/>
  <c r="D289" i="8"/>
  <c r="D194" i="8"/>
  <c r="D281" i="8"/>
  <c r="D131" i="8"/>
  <c r="D114" i="8"/>
  <c r="D36" i="8"/>
  <c r="D74" i="8"/>
  <c r="D47" i="8"/>
  <c r="D6" i="8"/>
  <c r="D7" i="8"/>
  <c r="D146" i="8"/>
  <c r="D128" i="8"/>
  <c r="D125" i="8"/>
  <c r="D34" i="8"/>
  <c r="D133" i="8"/>
  <c r="D234" i="8"/>
  <c r="D229" i="8"/>
  <c r="D222" i="8"/>
  <c r="D203" i="8"/>
  <c r="D187" i="8"/>
  <c r="D156" i="8"/>
  <c r="D288" i="8"/>
  <c r="D193" i="8"/>
  <c r="D271" i="8"/>
  <c r="D200" i="8"/>
  <c r="D214" i="8"/>
</calcChain>
</file>

<file path=xl/sharedStrings.xml><?xml version="1.0" encoding="utf-8"?>
<sst xmlns="http://schemas.openxmlformats.org/spreadsheetml/2006/main" count="6860" uniqueCount="2294">
  <si>
    <t>ID</t>
  </si>
  <si>
    <t>CH</t>
  </si>
  <si>
    <t>LOGO</t>
  </si>
  <si>
    <t>CATEGORY</t>
  </si>
  <si>
    <t>ADDRESS</t>
  </si>
  <si>
    <t>PORT</t>
  </si>
  <si>
    <t>ENABLED</t>
  </si>
  <si>
    <t>IPTV PLAYLIST MANAGEMENT</t>
  </si>
  <si>
    <t>https://i.ibb.co/0mLXF0f/useemozaik.png</t>
  </si>
  <si>
    <t>NAME</t>
  </si>
  <si>
    <t>News</t>
  </si>
  <si>
    <t>Lifestyle</t>
  </si>
  <si>
    <t>https://www.indihometv.com/assets/images/channel/channel_temp.png</t>
  </si>
  <si>
    <t>https://images.indihometv.com/logo_idx_big.png</t>
  </si>
  <si>
    <t>https://images.indihometv.com/logo_rri_big1.png</t>
  </si>
  <si>
    <t>https://images.indihometv.com/logo_indonesiana_ver1.png</t>
  </si>
  <si>
    <t>Knowledge</t>
  </si>
  <si>
    <t>https://images.indihometv.com/logo_natgeo_ver1.png</t>
  </si>
  <si>
    <t>https://images.indihometv.com/logo_natgeowild_ver1.png</t>
  </si>
  <si>
    <t>https://images.indihometv.com/logo_lingua_big.png</t>
  </si>
  <si>
    <t>https://images.indihometv.com/logo_techstorm_ver1.png</t>
  </si>
  <si>
    <t>Kids</t>
  </si>
  <si>
    <t>https://images.indihometv.com/logo_eatgo_big1.png</t>
  </si>
  <si>
    <t>Music</t>
  </si>
  <si>
    <t>https://images.indihometv.com/logo_ikonser_big.png</t>
  </si>
  <si>
    <t>https://images.indihometv.com/logo_insert_big1.png</t>
  </si>
  <si>
    <t>Movies</t>
  </si>
  <si>
    <t>239.1.1.252</t>
  </si>
  <si>
    <t>https://images.indihometv.com/logo_seru_big.png</t>
  </si>
  <si>
    <t>https://images.indihometv.com/logo_nhkworldpremium_big.png</t>
  </si>
  <si>
    <t>EPG</t>
  </si>
  <si>
    <t>Local</t>
  </si>
  <si>
    <t>Entertainment</t>
  </si>
  <si>
    <t>Mozaik Channel</t>
  </si>
  <si>
    <t>Metro TV</t>
  </si>
  <si>
    <t>CNN Indonesia</t>
  </si>
  <si>
    <t>TV One</t>
  </si>
  <si>
    <t>Lejel Home Shopping Live</t>
  </si>
  <si>
    <t>SCTV</t>
  </si>
  <si>
    <t>IDX</t>
  </si>
  <si>
    <t>Daai TV</t>
  </si>
  <si>
    <t>ATV</t>
  </si>
  <si>
    <t>Bali TV</t>
  </si>
  <si>
    <t>Nusantara TV</t>
  </si>
  <si>
    <t>RRI NET</t>
  </si>
  <si>
    <t>Jowo</t>
  </si>
  <si>
    <t>National Geographic</t>
  </si>
  <si>
    <t>National Geographic Wild</t>
  </si>
  <si>
    <t>CGTN Documentary</t>
  </si>
  <si>
    <t>Discovery Channel</t>
  </si>
  <si>
    <t>Tech Storm</t>
  </si>
  <si>
    <t>Nickelodeon</t>
  </si>
  <si>
    <t>Cartoon Network</t>
  </si>
  <si>
    <t>TLC</t>
  </si>
  <si>
    <t>MTV Live</t>
  </si>
  <si>
    <t>HGTV</t>
  </si>
  <si>
    <t>Rock Action</t>
  </si>
  <si>
    <t>Animax</t>
  </si>
  <si>
    <t>Lifetime</t>
  </si>
  <si>
    <t>AXN</t>
  </si>
  <si>
    <t>Rock Entertainment</t>
  </si>
  <si>
    <t>KBS World</t>
  </si>
  <si>
    <t>Aniplus</t>
  </si>
  <si>
    <t>Dunia Lain</t>
  </si>
  <si>
    <t>CCTV4</t>
  </si>
  <si>
    <t>Chinese Drama</t>
  </si>
  <si>
    <t>HBO</t>
  </si>
  <si>
    <t>HBO Signature</t>
  </si>
  <si>
    <t>HBO Hits</t>
  </si>
  <si>
    <t>HBO Family</t>
  </si>
  <si>
    <t>Thrill</t>
  </si>
  <si>
    <t>Cinema World</t>
  </si>
  <si>
    <t>Bioskop Indonesia</t>
  </si>
  <si>
    <t>Flik</t>
  </si>
  <si>
    <t>IMC</t>
  </si>
  <si>
    <t>Galaxy Premium</t>
  </si>
  <si>
    <t>Horizon Sports</t>
  </si>
  <si>
    <t>Euronews</t>
  </si>
  <si>
    <t>France 24</t>
  </si>
  <si>
    <t>CNBC Indonesia</t>
  </si>
  <si>
    <t>Rodja TV</t>
  </si>
  <si>
    <t>MTATV</t>
  </si>
  <si>
    <t>MQTV</t>
  </si>
  <si>
    <t>TVRI</t>
  </si>
  <si>
    <t>Indosiar</t>
  </si>
  <si>
    <t>Kompas TV</t>
  </si>
  <si>
    <t>BTV</t>
  </si>
  <si>
    <t>MOJI</t>
  </si>
  <si>
    <t>Mentari TV</t>
  </si>
  <si>
    <t>ANTV</t>
  </si>
  <si>
    <t>iNews</t>
  </si>
  <si>
    <t>Lingua</t>
  </si>
  <si>
    <t>Citra Dangdut</t>
  </si>
  <si>
    <t>Musik Indonesia</t>
  </si>
  <si>
    <t>Arirang</t>
  </si>
  <si>
    <t>TRT World</t>
  </si>
  <si>
    <t>ABC Australia</t>
  </si>
  <si>
    <t>CNBC Asia</t>
  </si>
  <si>
    <t>Cinemax</t>
  </si>
  <si>
    <t>Galaxy</t>
  </si>
  <si>
    <t>Prambors</t>
  </si>
  <si>
    <t>TVBS News</t>
  </si>
  <si>
    <t>JTV</t>
  </si>
  <si>
    <t>abcaustralia</t>
  </si>
  <si>
    <t>animax</t>
  </si>
  <si>
    <t>aniplus</t>
  </si>
  <si>
    <t>arirang</t>
  </si>
  <si>
    <t>axn</t>
  </si>
  <si>
    <t>cctv4</t>
  </si>
  <si>
    <t>cdrama</t>
  </si>
  <si>
    <t>dunialain</t>
  </si>
  <si>
    <t>hits</t>
  </si>
  <si>
    <t>Hits</t>
  </si>
  <si>
    <t>hitsnow</t>
  </si>
  <si>
    <t>HITS Now</t>
  </si>
  <si>
    <t>kbsworld</t>
  </si>
  <si>
    <t>kix</t>
  </si>
  <si>
    <t>Kix</t>
  </si>
  <si>
    <t>kplus</t>
  </si>
  <si>
    <t>Kplus</t>
  </si>
  <si>
    <t>lifetime</t>
  </si>
  <si>
    <t>nhkworld</t>
  </si>
  <si>
    <t>nhk world Japan</t>
  </si>
  <si>
    <t>blueantextreme</t>
  </si>
  <si>
    <t>blueant</t>
  </si>
  <si>
    <t>seru</t>
  </si>
  <si>
    <t>Seru!</t>
  </si>
  <si>
    <t>shenzen</t>
  </si>
  <si>
    <t>Shenzen</t>
  </si>
  <si>
    <t>sone</t>
  </si>
  <si>
    <t>SONE</t>
  </si>
  <si>
    <t>tlc</t>
  </si>
  <si>
    <t>tv5monde</t>
  </si>
  <si>
    <t>TV5Monde</t>
  </si>
  <si>
    <t>tvn</t>
  </si>
  <si>
    <t>TVN</t>
  </si>
  <si>
    <t>warner</t>
  </si>
  <si>
    <t>Warner</t>
  </si>
  <si>
    <t>zhejiang</t>
  </si>
  <si>
    <t>Zhejiang</t>
  </si>
  <si>
    <t>boomerang</t>
  </si>
  <si>
    <t>cartoonnetwork</t>
  </si>
  <si>
    <t>davinci</t>
  </si>
  <si>
    <t>Da Vinci Learning</t>
  </si>
  <si>
    <t>dreamworks</t>
  </si>
  <si>
    <t>Dreamworks</t>
  </si>
  <si>
    <t>duniaanak</t>
  </si>
  <si>
    <t>Dunia anak</t>
  </si>
  <si>
    <t>indikids</t>
  </si>
  <si>
    <t>horee</t>
  </si>
  <si>
    <t>Horee</t>
  </si>
  <si>
    <t>mentaritv</t>
  </si>
  <si>
    <t>mykids</t>
  </si>
  <si>
    <t>MyKidz</t>
  </si>
  <si>
    <t>nickjr</t>
  </si>
  <si>
    <t>Nick Junior</t>
  </si>
  <si>
    <t>nickelodeon</t>
  </si>
  <si>
    <t>cgtndocumentary</t>
  </si>
  <si>
    <t>crimeinvestigation</t>
  </si>
  <si>
    <t>Crime Investigation</t>
  </si>
  <si>
    <t>disco</t>
  </si>
  <si>
    <t>history</t>
  </si>
  <si>
    <t>History</t>
  </si>
  <si>
    <t>lingua</t>
  </si>
  <si>
    <t>techstorm</t>
  </si>
  <si>
    <t>afc</t>
  </si>
  <si>
    <t>Asian Food Network</t>
  </si>
  <si>
    <t>atv</t>
  </si>
  <si>
    <t>eatgo</t>
  </si>
  <si>
    <t>Eat &amp; Go</t>
  </si>
  <si>
    <t>fashiontv</t>
  </si>
  <si>
    <t>FashionTV</t>
  </si>
  <si>
    <t>hgtv</t>
  </si>
  <si>
    <t>useeprime</t>
  </si>
  <si>
    <t>antara</t>
  </si>
  <si>
    <t>Antara</t>
  </si>
  <si>
    <t>antv</t>
  </si>
  <si>
    <t>balitv</t>
  </si>
  <si>
    <t>beritasatu</t>
  </si>
  <si>
    <t>daaitv</t>
  </si>
  <si>
    <t>indonesiana</t>
  </si>
  <si>
    <t>Indonesiana TV</t>
  </si>
  <si>
    <t>indosiar</t>
  </si>
  <si>
    <t>inews</t>
  </si>
  <si>
    <t>insert</t>
  </si>
  <si>
    <t>Insert</t>
  </si>
  <si>
    <t>jaktv</t>
  </si>
  <si>
    <t>JakTV</t>
  </si>
  <si>
    <t>jtv</t>
  </si>
  <si>
    <t>kompastv</t>
  </si>
  <si>
    <t>ochannel</t>
  </si>
  <si>
    <t>net</t>
  </si>
  <si>
    <t>nusantaratv</t>
  </si>
  <si>
    <t>rtv</t>
  </si>
  <si>
    <t>Rajawali TV</t>
  </si>
  <si>
    <t>rrinet</t>
  </si>
  <si>
    <t>sctv</t>
  </si>
  <si>
    <t>mncnews</t>
  </si>
  <si>
    <t>SINDO News TV</t>
  </si>
  <si>
    <t>trans7</t>
  </si>
  <si>
    <t>Trans7</t>
  </si>
  <si>
    <t>transtv</t>
  </si>
  <si>
    <t>TransTV</t>
  </si>
  <si>
    <t>tvri</t>
  </si>
  <si>
    <t>bioskopindonesia</t>
  </si>
  <si>
    <t>celestialmovie</t>
  </si>
  <si>
    <t>Celestial Movie</t>
  </si>
  <si>
    <t>cinemaworld</t>
  </si>
  <si>
    <t>flik</t>
  </si>
  <si>
    <t>galaxy</t>
  </si>
  <si>
    <t>galaxypremium</t>
  </si>
  <si>
    <t>hitsmovie</t>
  </si>
  <si>
    <t>HIts Movie</t>
  </si>
  <si>
    <t>imc</t>
  </si>
  <si>
    <t>maxstream</t>
  </si>
  <si>
    <t>Maxstream</t>
  </si>
  <si>
    <t>mycinema</t>
  </si>
  <si>
    <t>mycinemaasia</t>
  </si>
  <si>
    <t>myfamily</t>
  </si>
  <si>
    <t>thrill</t>
  </si>
  <si>
    <t>tvnmovies</t>
  </si>
  <si>
    <t>TVN Movies</t>
  </si>
  <si>
    <t>zbioskop</t>
  </si>
  <si>
    <t>ZBioskop</t>
  </si>
  <si>
    <t>citradangdut</t>
  </si>
  <si>
    <t>ikonser</t>
  </si>
  <si>
    <t>I-Konser</t>
  </si>
  <si>
    <t>mtvlive</t>
  </si>
  <si>
    <t>musikindo</t>
  </si>
  <si>
    <t>pramborstv</t>
  </si>
  <si>
    <t>aljazeera</t>
  </si>
  <si>
    <t>Aljazeera</t>
  </si>
  <si>
    <t>bloomberg</t>
  </si>
  <si>
    <t>cnbcasia</t>
  </si>
  <si>
    <t>cnbcindonesia</t>
  </si>
  <si>
    <t>cnnindonesia</t>
  </si>
  <si>
    <t>cnninternational</t>
  </si>
  <si>
    <t>CNN International</t>
  </si>
  <si>
    <t>dwtv</t>
  </si>
  <si>
    <t>DW (English)</t>
  </si>
  <si>
    <t>euronews</t>
  </si>
  <si>
    <t>france24</t>
  </si>
  <si>
    <t>idx</t>
  </si>
  <si>
    <t>metrotv</t>
  </si>
  <si>
    <t>newsasia</t>
  </si>
  <si>
    <t>News Asia</t>
  </si>
  <si>
    <t>seatoday</t>
  </si>
  <si>
    <t>SEA Today</t>
  </si>
  <si>
    <t>tvone</t>
  </si>
  <si>
    <t>tvbs</t>
  </si>
  <si>
    <t>alquran</t>
  </si>
  <si>
    <t>AlQuran Kareem</t>
  </si>
  <si>
    <t>mqtv</t>
  </si>
  <si>
    <t>muhammadiyahtv</t>
  </si>
  <si>
    <t>Muhammadiyah TV</t>
  </si>
  <si>
    <t>muitv</t>
  </si>
  <si>
    <t>MUI TV</t>
  </si>
  <si>
    <t>rodjatv</t>
  </si>
  <si>
    <t>tawaftv</t>
  </si>
  <si>
    <t>tv9</t>
  </si>
  <si>
    <t>TV9 NU</t>
  </si>
  <si>
    <t>uchannel</t>
  </si>
  <si>
    <t>UChannel</t>
  </si>
  <si>
    <t>bein1</t>
  </si>
  <si>
    <t>Sport</t>
  </si>
  <si>
    <t>bein2</t>
  </si>
  <si>
    <t>fightsport</t>
  </si>
  <si>
    <t>Fight Sport</t>
  </si>
  <si>
    <t>horizonsport</t>
  </si>
  <si>
    <t>nba</t>
  </si>
  <si>
    <t>NBA</t>
  </si>
  <si>
    <t>HD</t>
  </si>
  <si>
    <t>Q</t>
  </si>
  <si>
    <t>TVGID</t>
  </si>
  <si>
    <t>jowo</t>
  </si>
  <si>
    <t>natgeo</t>
  </si>
  <si>
    <t>natgeowild</t>
  </si>
  <si>
    <t>moonbug</t>
  </si>
  <si>
    <t>nhkworldpremium</t>
  </si>
  <si>
    <t>chinesedrama</t>
  </si>
  <si>
    <t>trtworld</t>
  </si>
  <si>
    <t>mtatv</t>
  </si>
  <si>
    <t>FLAG</t>
  </si>
  <si>
    <t>mozaik</t>
  </si>
  <si>
    <t>lejel</t>
  </si>
  <si>
    <t>nhk world Premium</t>
  </si>
  <si>
    <t>hbo</t>
  </si>
  <si>
    <t>cinemax</t>
  </si>
  <si>
    <t>hbosignature</t>
  </si>
  <si>
    <t>hbohits</t>
  </si>
  <si>
    <t>hbofamily</t>
  </si>
  <si>
    <t>Cartoonito</t>
  </si>
  <si>
    <t>https://images.indihometv.com/logo_trtworld_big.png</t>
  </si>
  <si>
    <t>discoveryasia</t>
  </si>
  <si>
    <t>Discovery Asia</t>
  </si>
  <si>
    <t>animalplanet</t>
  </si>
  <si>
    <t>Animal Planet</t>
  </si>
  <si>
    <t>lovenature</t>
  </si>
  <si>
    <t>Love Nature</t>
  </si>
  <si>
    <t>curiosity</t>
  </si>
  <si>
    <t>Curiosity</t>
  </si>
  <si>
    <t>Religion</t>
  </si>
  <si>
    <t>idtv</t>
  </si>
  <si>
    <t>newtvcomprehensive</t>
  </si>
  <si>
    <t>New Tv Comprehensive</t>
  </si>
  <si>
    <t>newtvfinance</t>
  </si>
  <si>
    <t>New Tv Finance</t>
  </si>
  <si>
    <t>newtvvariety</t>
  </si>
  <si>
    <t>New Tv Variety</t>
  </si>
  <si>
    <t>SPOTV</t>
  </si>
  <si>
    <t>SPOTV 2</t>
  </si>
  <si>
    <t>Citra Drama</t>
  </si>
  <si>
    <t>jawapos</t>
  </si>
  <si>
    <t>Jawa Pos TV</t>
  </si>
  <si>
    <t>Moonbug</t>
  </si>
  <si>
    <t>phoenixchinese</t>
  </si>
  <si>
    <t>Phoenix Chinese</t>
  </si>
  <si>
    <t>phoenixinfonews</t>
  </si>
  <si>
    <t>Phoenix InfoNews</t>
  </si>
  <si>
    <t>studiouniversal</t>
  </si>
  <si>
    <t>Studio Universal</t>
  </si>
  <si>
    <t>SD</t>
  </si>
  <si>
    <t>useesport</t>
  </si>
  <si>
    <t>useesports2</t>
  </si>
  <si>
    <t>pandatv</t>
  </si>
  <si>
    <t>sgem</t>
  </si>
  <si>
    <t>kungfutv</t>
  </si>
  <si>
    <t>paramount</t>
  </si>
  <si>
    <t>championstv1</t>
  </si>
  <si>
    <t>championstv2</t>
  </si>
  <si>
    <t>Dolby HD</t>
  </si>
  <si>
    <t>239.1.1.200</t>
  </si>
  <si>
    <t>239.1.1.35</t>
  </si>
  <si>
    <t>239.1.1.201</t>
  </si>
  <si>
    <t>Panda TV</t>
  </si>
  <si>
    <t>https://images.indihometv.com/logo_pandatv_big.png</t>
  </si>
  <si>
    <t>SGEM</t>
  </si>
  <si>
    <t>https://images.indihometv.com/logo_sgem_big.png</t>
  </si>
  <si>
    <t>Paramount</t>
  </si>
  <si>
    <t>https://images.indihometv.com/logo_paramount_ver1.png</t>
  </si>
  <si>
    <t>Champions TV1</t>
  </si>
  <si>
    <t>Champions TV2</t>
  </si>
  <si>
    <t>UseeSports2</t>
  </si>
  <si>
    <t>https://images.indihometv.com/logo_useesports2_ver1.png</t>
  </si>
  <si>
    <t>Kungfu TV</t>
  </si>
  <si>
    <t>https://images.indihometv.com/logo_kungfutv_big.png</t>
  </si>
  <si>
    <t>molasport</t>
  </si>
  <si>
    <t>molagolf</t>
  </si>
  <si>
    <t>Mola Golf</t>
  </si>
  <si>
    <t>Mola Sport</t>
  </si>
  <si>
    <t>volitv</t>
  </si>
  <si>
    <t>Voli TV</t>
  </si>
  <si>
    <t>wsport</t>
  </si>
  <si>
    <t>W-Sport</t>
  </si>
  <si>
    <t>My Cinema</t>
  </si>
  <si>
    <t>https://images.indihometv.com/logo_mycinema_ver1.png</t>
  </si>
  <si>
    <t>My Cinema Asia</t>
  </si>
  <si>
    <t>https://images.indihometv.com/logo_new-mycinemaasia_big.png</t>
  </si>
  <si>
    <t>My Family</t>
  </si>
  <si>
    <t>https://images.indihometv.com/logo_myfamily_ver2.png</t>
  </si>
  <si>
    <t>championstv5</t>
  </si>
  <si>
    <t>championstv6</t>
  </si>
  <si>
    <t>Champions TV5</t>
  </si>
  <si>
    <t>Champions TV6</t>
  </si>
  <si>
    <t>239.1.2.59</t>
  </si>
  <si>
    <t>BeritaSatu</t>
  </si>
  <si>
    <t>MDTV</t>
  </si>
  <si>
    <t>https://images.indihometv.com/assets/88_SEATODAY_2025_03_17_15_10_12.png</t>
  </si>
  <si>
    <t>garudatv</t>
  </si>
  <si>
    <t>Garuda TV</t>
  </si>
  <si>
    <t>rusiatv</t>
  </si>
  <si>
    <t>DMI TV</t>
  </si>
  <si>
    <t>AXNAsia.sg@Indonesia</t>
  </si>
  <si>
    <t>CNNInternational.us@AsiaPacific</t>
  </si>
  <si>
    <t>BloombergTV.us@Asia</t>
  </si>
  <si>
    <t>France24.fr@English</t>
  </si>
  <si>
    <t>DW.de@English</t>
  </si>
  <si>
    <t>StudioUniversalLatinAmerica.us@Brazil</t>
  </si>
  <si>
    <t>https://images.indihometv.com/images/channels/image_ch_abcaustrlia.png</t>
  </si>
  <si>
    <t>https://images.indihometv.com/images/channels/image_ch_afn.png</t>
  </si>
  <si>
    <t>https://images.indihometv.com/images/channels/image_ch_aljazeera.png</t>
  </si>
  <si>
    <t>https://images.indihometv.com/images/channels/image_ch_alquranalkareem.png</t>
  </si>
  <si>
    <t>https://images.indihometv.com/images/channels/image_ch_animal planet.png</t>
  </si>
  <si>
    <t>https://images.indihometv.com/images/channels/image_ch_animax.png</t>
  </si>
  <si>
    <t>https://images.indihometv.com/images/channels/image_ch_aniplus.png</t>
  </si>
  <si>
    <t>https://images.indihometv.com/images/channels/image_ch_antv.png</t>
  </si>
  <si>
    <t>https://images.indihometv.com/images/channels/image_ch_arirang.png</t>
  </si>
  <si>
    <t>https://images.indihometv.com/images/channels/image_ch_atv.png</t>
  </si>
  <si>
    <t>https://images.indihometv.com/images/channels/image_ch_axn.png</t>
  </si>
  <si>
    <t>https://images.indihometv.com/images/channels/image_ch_balitv.png</t>
  </si>
  <si>
    <t>https://images.indihometv.com/images/channels/image_ch_spotv.png</t>
  </si>
  <si>
    <t>https://images.indihometv.com/images/channels/image_ch_spotv2.png</t>
  </si>
  <si>
    <t>https://images.indihometv.com/images/channels/image_ch_btv.png</t>
  </si>
  <si>
    <t>https://images.indihometv.com/images/channels/image_ch_bioskopindonesia.png</t>
  </si>
  <si>
    <t>https://images.indihometv.com/images/channels/image_ch_bloomberg.png</t>
  </si>
  <si>
    <t>https://images.indihometv.com/images/channels/image_ch_rockent.png</t>
  </si>
  <si>
    <t>https://images.indihometv.com/images/channels/image_ch_rockaction.png</t>
  </si>
  <si>
    <t>https://images.indihometv.com/images/channels/image_ch_cartoonito.png</t>
  </si>
  <si>
    <t>https://images.indihometv.com/images/channels/image_ch_cartoonnetwork.png</t>
  </si>
  <si>
    <t>https://images.indihometv.com/images/channels/image_ch_cctv4.png</t>
  </si>
  <si>
    <t>https://images.indihometv.com/images/channels/image_ch_citradrama.png</t>
  </si>
  <si>
    <t>https://images.indihometv.com/images/channels/image_ch_celestialmovies.png</t>
  </si>
  <si>
    <t>https://images.indihometv.com/images/channels/image_ch_cgtndocumentary.png</t>
  </si>
  <si>
    <t>https://images.indihometv.com/images/channels/image_ch_chinesedrama.png</t>
  </si>
  <si>
    <t>https://images.indihometv.com/images/channels/image_ch_cinemaworld.png</t>
  </si>
  <si>
    <t>https://images.indihometv.com/images/channels/image_ch_citradangdut.png</t>
  </si>
  <si>
    <t>https://images.indihometv.com/images/channels/image_ch_cnbcasia.png</t>
  </si>
  <si>
    <t>https://images.indihometv.com/images/channels/image_ch_cnbcindonesia.png</t>
  </si>
  <si>
    <t>https://images.indihometv.com/images/channels/image_ch_cnnindonesia.png</t>
  </si>
  <si>
    <t>https://images.indihometv.com/images/channels/image_ch_cnninter.png</t>
  </si>
  <si>
    <t>https://images.indihometv.com/images/channels/image_ch_crime+investigation.png</t>
  </si>
  <si>
    <t>https://images.indihometv.com/images/channels/image_ch_curiosity.png</t>
  </si>
  <si>
    <t>https://images.indihometv.com/images/channels/image_ch_daaitv.png</t>
  </si>
  <si>
    <t>https://images.indihometv.com/images/channels/image_ch_davinci.png</t>
  </si>
  <si>
    <t>https://images.indihometv.com/images/channels/image_ch_discovery.png</t>
  </si>
  <si>
    <t>https://images.indihometv.com/images/channels/image_ch_discoveryasia.png</t>
  </si>
  <si>
    <t>https://images.indihometv.com/images/channels/image_ch_dreamworks.png</t>
  </si>
  <si>
    <t>https://images.indihometv.com/images/channels/image_ch_duniaanak.png</t>
  </si>
  <si>
    <t>https://images.indihometv.com/images/channels/image_ch_dunialain.png</t>
  </si>
  <si>
    <t>https://images.indihometv.com/images/channels/image_ch_dwtv.png</t>
  </si>
  <si>
    <t>https://images.indihometv.com/images/channels/image_ch_euronews.png</t>
  </si>
  <si>
    <t>https://images.indihometv.com/images/channels/image_ch_fashiontv.png</t>
  </si>
  <si>
    <t>https://images.indihometv.com/images/channels/image_ch_fightsport.png</t>
  </si>
  <si>
    <t>https://images.indihometv.com/images/channels/image_ch_flik.png</t>
  </si>
  <si>
    <t>https://images.indihometv.com/images/channels/image_ch_france24.png</t>
  </si>
  <si>
    <t>https://images.indihometv.com/images/channels/image_ch_galaxy.png</t>
  </si>
  <si>
    <t>https://images.indihometv.com/images/channels/image_ch_galaxypremium.png</t>
  </si>
  <si>
    <t>https://images.indihometv.com/images/channels/image_ch_hgtv.png</t>
  </si>
  <si>
    <t>https://images.indihometv.com/images/channels/image_ch_history.png</t>
  </si>
  <si>
    <t>https://images.indihometv.com/images/channels/image_ch_hits.png</t>
  </si>
  <si>
    <t>https://images.indihometv.com/images/channels/image_ch_hitsmovies.png</t>
  </si>
  <si>
    <t>https://images.indihometv.com/images/channels/image_ch_hitsnow.png</t>
  </si>
  <si>
    <t>https://images.indihometv.com/images/channels/image_ch_horee!.png</t>
  </si>
  <si>
    <t>https://images.indihometv.com/images/channels/image_ch_horizonsport.png</t>
  </si>
  <si>
    <t>https://images.indihometv.com/images/channels/image_ch_imc.png</t>
  </si>
  <si>
    <t>https://images.indihometv.com/images/channels/image_ch_indosiar.png</t>
  </si>
  <si>
    <t>https://images.indihometv.com/images/channels/image_ch_inews.png</t>
  </si>
  <si>
    <t>https://images.indihometv.com/images/channels/image_ch_jaktv.png</t>
  </si>
  <si>
    <t>https://images.indihometv.com/images/channels/image_ch_jawapos.png</t>
  </si>
  <si>
    <t>https://images.indihometv.com/images/channels/image_ch_jtv.png</t>
  </si>
  <si>
    <t>https://images.indihometv.com/images/channels/image_ch_kbsworld.png</t>
  </si>
  <si>
    <t>https://images.indihometv.com/images/channels/image_ch_kix.png</t>
  </si>
  <si>
    <t>https://images.indihometv.com/images/channels/image_ch_kompastv.png</t>
  </si>
  <si>
    <t>https://images.indihometv.com/images/channels/image_ch_kplus.png</t>
  </si>
  <si>
    <t>https://images.indihometv.com/images/channels/image_ch_lifetime.png</t>
  </si>
  <si>
    <t>https://images.indihometv.com/images/channels/image_ch_lovenature.png</t>
  </si>
  <si>
    <t>https://images.indihometv.com/images/channels/image_ch_mentaritv.png</t>
  </si>
  <si>
    <t>https://images.indihometv.com/images/channels/image_ch_metrotv.png</t>
  </si>
  <si>
    <t>https://images.indihometv.com/images/channels/image_ch_sindonews.png</t>
  </si>
  <si>
    <t>https://images.indihometv.com/images/channels/image_ch_moonbug kids.png</t>
  </si>
  <si>
    <t>https://images.indihometv.com/images/channels/image_ch_mqtv.png</t>
  </si>
  <si>
    <t>https://images.indihometv.com/images/channels/image_ch_mta.png</t>
  </si>
  <si>
    <t>https://images.indihometv.com/images/channels/image_ch_mtv.png</t>
  </si>
  <si>
    <t>https://images.indihometv.com/images/channels/image_ch_tvmu.png</t>
  </si>
  <si>
    <t>https://images.indihometv.com/images/channels/image_ch_tvmui.png</t>
  </si>
  <si>
    <t>https://images.indihometv.com/images/channels/image_ch_musikindonesia.png</t>
  </si>
  <si>
    <t>https://images.indihometv.com/images/channels/image_ch_mykidz.png</t>
  </si>
  <si>
    <t>https://images.indihometv.com/images/channels/image_ch_nbatv.png</t>
  </si>
  <si>
    <t>https://images.indihometv.com/images/channels/imageCir_MDTV-180x180-CL_2025_10_08_13_01_28.jpg</t>
  </si>
  <si>
    <t>https://images.indihometv.com/images/channels/image_ch_chinesenewsasia.png</t>
  </si>
  <si>
    <t>https://images.indihometv.com/images/channels/image_ch_newtvcompre.png</t>
  </si>
  <si>
    <t>https://images.indihometv.com/images/channels/image_ch_newtvfinance.png</t>
  </si>
  <si>
    <t>https://images.indihometv.com/images/channels/image_ch_newtvvariety.png</t>
  </si>
  <si>
    <t>https://images.indihometv.com/images/channels/image_ch_nhkworldjapan.png</t>
  </si>
  <si>
    <t>https://images.indihometv.com/images/channels/image_ch_nick.png</t>
  </si>
  <si>
    <t>https://images.indihometv.com/images/channels/image_ch_nickjr.png</t>
  </si>
  <si>
    <t>https://images.indihometv.com/images/channels/image_ch_nusantaratv.png</t>
  </si>
  <si>
    <t>https://images.indihometv.com/images/channels/image_ch_moji.png</t>
  </si>
  <si>
    <t>https://images.indihometv.com/images/channels/image_ch_phoenixch.png</t>
  </si>
  <si>
    <t>https://images.indihometv.com/images/channels/image_ch_phoenixinfonews.png</t>
  </si>
  <si>
    <t>https://images.indihometv.com/images/channels/image_ch_prambors.png</t>
  </si>
  <si>
    <t>https://images.indihometv.com/images/channels/image_ch_rodjatv.png</t>
  </si>
  <si>
    <t>https://images.indihometv.com/images/channels/image_ch_rtv.png</t>
  </si>
  <si>
    <t>Russia Today</t>
  </si>
  <si>
    <t>https://images.indihometv.com/images/channels/image_ch_sctv.png</t>
  </si>
  <si>
    <t>https://images.indihometv.com/images/channels/image_ch_shenzentv.png</t>
  </si>
  <si>
    <t>https://images.indihometv.com/images/channels/image_ch_sony_one.png</t>
  </si>
  <si>
    <t>https://images.indihometv.com/images/channels/image_ch_studiouniversal.png</t>
  </si>
  <si>
    <t>https://images.indihometv.com/images/channels/image_ch_thrill.png</t>
  </si>
  <si>
    <t>https://images.indihometv.com/images/channels/image_ch_tlc.png</t>
  </si>
  <si>
    <t>https://images.indihometv.com/images/channels/image_ch_trans7.png</t>
  </si>
  <si>
    <t>https://images.indihometv.com/images/channels/image_ch_transtv.png</t>
  </si>
  <si>
    <t>https://images.indihometv.com/images/channels/image_ch_tv5monde.png</t>
  </si>
  <si>
    <t>https://images.indihometv.com/images/channels/image_ch_tv9.png</t>
  </si>
  <si>
    <t>https://images.indihometv.com/images/channels/image_ch_tvbsnews.png</t>
  </si>
  <si>
    <t>https://images.indihometv.com/images/channels/image_ch_tvn.png</t>
  </si>
  <si>
    <t>https://images.indihometv.com/images/channels/image_ch_tvnmovies.png</t>
  </si>
  <si>
    <t>https://images.indihometv.com/images/channels/image_ch_tvone.png</t>
  </si>
  <si>
    <t>https://images.indihometv.com/images/channels/image_ch_tvri.png</t>
  </si>
  <si>
    <t>https://images.indihometv.com/images/channels/image_ch_uchannel.png</t>
  </si>
  <si>
    <t>https://images.indihometv.com/images/channels/image_ch_warnertv.png</t>
  </si>
  <si>
    <t>https://images.indihometv.com/images/channels/image_ch_zeebioskop.png</t>
  </si>
  <si>
    <t>https://images.indihometv.com/images/channels/image_ch_zhejiangtv.png</t>
  </si>
  <si>
    <t>https://images.indihometv.com/images/channels/imageCir_180x180-CL-AntaraTV_2025_10_24_15_50_32.jpg</t>
  </si>
  <si>
    <t>BLOOMBERG</t>
  </si>
  <si>
    <t>CINEMAX</t>
  </si>
  <si>
    <t>https://images.indihometv.com/images/channels/imageCir_Cinemax-180x180_2025_11_05_13_11_15.jpg</t>
  </si>
  <si>
    <t>globaltv</t>
  </si>
  <si>
    <t>GTV</t>
  </si>
  <si>
    <t>https://images.indihometv.com/images/channels/imageCir_GTV-180x180_2025_11_06_13_07_56.jpg</t>
  </si>
  <si>
    <t>https://images.indihometv.com/images/channels/imageCir_HBO-180x180_2025_11_05_11_21_29.jpg</t>
  </si>
  <si>
    <t>HBO FAMILY</t>
  </si>
  <si>
    <t>https://images.indihometv.com/images/channels/imageCir_HBO-Familly-180x180_2025_11_05_11_14_46.jpg</t>
  </si>
  <si>
    <t>hbo hits</t>
  </si>
  <si>
    <t>https://images.indihometv.com/images/channels/imageCir_HBO-Hits-180x180_2025_11_05_11_23_20.jpg</t>
  </si>
  <si>
    <t>https://images.indihometv.com/images/channels/imageCir_HBO-Signature-180x180_2025_11_05_12_57_49.jpg</t>
  </si>
  <si>
    <t>https://images.indihometv.com/images/channels/imageCir_BERITA_SATU_(Color)_2025_10_24_11_52_17.jpg</t>
  </si>
  <si>
    <t>mnctv</t>
  </si>
  <si>
    <t>MNC</t>
  </si>
  <si>
    <t>https://images.indihometv.com/images/channels/imageCir_MNC-180x180_2025_11_06_13_06_02.jpg</t>
  </si>
  <si>
    <t>rcti</t>
  </si>
  <si>
    <t>RCTI</t>
  </si>
  <si>
    <t>https://images.indihometv.com/images/channels/imageCir_RCTI-180x180_2025_11_06_13_09_06.jpg</t>
  </si>
  <si>
    <t>https://images.indihometv.com/images/channels/imageCir_180x180-CL-RT_2025_10_24_15_49_57.jpg</t>
  </si>
  <si>
    <t>sinpotv</t>
  </si>
  <si>
    <t>SINPO TV</t>
  </si>
  <si>
    <t>https://images.indihometv.com/images/channels/imageCir_Sinpo-1800x1800_2025_11_06_13_04_13.jpg</t>
  </si>
  <si>
    <t>https://images.indihometv.com/images/channels/imageCir_DMITV-180x180_2025_11_06_11_00_00.jpg</t>
  </si>
  <si>
    <t>tvriworld</t>
  </si>
  <si>
    <t>TVRI WORLD</t>
  </si>
  <si>
    <t>https://images.indihometv.com/images/channels/imageCir_180x180-CL-TVRI-World_2025_11_03_11_11_10.jpg</t>
  </si>
  <si>
    <t>MAXStream.id@SD</t>
  </si>
  <si>
    <t>TVRI.id@SD</t>
  </si>
  <si>
    <t>MetroTV.id@SD</t>
  </si>
  <si>
    <t>SEAToday.id@SD</t>
  </si>
  <si>
    <t>CNNIndonesia.id@SD</t>
  </si>
  <si>
    <t>tvOne.id@SD</t>
  </si>
  <si>
    <t>TransTV.id@SD</t>
  </si>
  <si>
    <t>Trans7.id@SD</t>
  </si>
  <si>
    <t>LejelHomeShopping.id@SD</t>
  </si>
  <si>
    <t>SCTV.id@SD</t>
  </si>
  <si>
    <t>ANTV.id@SD</t>
  </si>
  <si>
    <t>Indosiar.id@SD</t>
  </si>
  <si>
    <t>GarudaTV.id@SD</t>
  </si>
  <si>
    <t>KompasTV.id@SD</t>
  </si>
  <si>
    <t>BTV.id@SD</t>
  </si>
  <si>
    <t>JakTV.id@SD</t>
  </si>
  <si>
    <t>BeritaSatu.id@SD</t>
  </si>
  <si>
    <t>RajawaliTV.id@SD</t>
  </si>
  <si>
    <t>IDXChannel.id@SD</t>
  </si>
  <si>
    <t>DAAITV.id@SD</t>
  </si>
  <si>
    <t>ATV.id@SD</t>
  </si>
  <si>
    <t>BaliTV.id@SD</t>
  </si>
  <si>
    <t>JTV.id@SD</t>
  </si>
  <si>
    <t>AntaraTV.id@SD</t>
  </si>
  <si>
    <t>Moji.id@SD</t>
  </si>
  <si>
    <t>NusantaraTV.id@SD</t>
  </si>
  <si>
    <t>INews.id@SD</t>
  </si>
  <si>
    <t>JawaPosTV.id@SD</t>
  </si>
  <si>
    <t>SindoNewsTV.id@SD</t>
  </si>
  <si>
    <t>CNBCIndonesia.id@SD</t>
  </si>
  <si>
    <t>ChannelJowo.id@SD</t>
  </si>
  <si>
    <t>CuriosityChannel.us@SD</t>
  </si>
  <si>
    <t>AnimalPlanetSoutheastAsia.sg@SD</t>
  </si>
  <si>
    <t>CrimePlusInvestigationAsia.sg@SD</t>
  </si>
  <si>
    <t>CGTNDocumentary.cn@SD</t>
  </si>
  <si>
    <t>HistoryAsia.us@SD</t>
  </si>
  <si>
    <t>iPanda.cn@SD</t>
  </si>
  <si>
    <t>DiscoveryAsia.sg@SD</t>
  </si>
  <si>
    <t>LoveNature.ca@SD</t>
  </si>
  <si>
    <t>DaVinciAsia.de@SD</t>
  </si>
  <si>
    <t>NickelodeonAsia.sg@SD</t>
  </si>
  <si>
    <t>NickJrAsia.sg@SD</t>
  </si>
  <si>
    <t>CartoonNetworkAsia.sg@SD</t>
  </si>
  <si>
    <t>DreamWorksChannelAsia.us@SD</t>
  </si>
  <si>
    <t>DuniaAnak.id@SD</t>
  </si>
  <si>
    <t>MyKidz.id@SD</t>
  </si>
  <si>
    <t>Horee.id@SD</t>
  </si>
  <si>
    <t>MentariTV.id@SD</t>
  </si>
  <si>
    <t>AsianFoodNetwork.sg@SD</t>
  </si>
  <si>
    <t>EatNGo.id@SD</t>
  </si>
  <si>
    <t>FashionTVAsia.fr@SD</t>
  </si>
  <si>
    <t>TLCSoutheastAsia.sg@SD</t>
  </si>
  <si>
    <t>MusikIndonesia.id@SD</t>
  </si>
  <si>
    <t>Prambors.id@SD</t>
  </si>
  <si>
    <t>HGTVAsia.us@SD</t>
  </si>
  <si>
    <t>AnimaxAsia.sg@SD</t>
  </si>
  <si>
    <t>nsert.id@SD</t>
  </si>
  <si>
    <t>LifetimeAsia.us@SD</t>
  </si>
  <si>
    <t>KIX.hk@SD</t>
  </si>
  <si>
    <t>HITS.sg@SD</t>
  </si>
  <si>
    <t>WarnerTVAsia.us@SD</t>
  </si>
  <si>
    <t>TV5MondeAsia.fr@SD</t>
  </si>
  <si>
    <t>ROCKEntertainment.sg@SD</t>
  </si>
  <si>
    <t>tvNAsia.hk@SD</t>
  </si>
  <si>
    <t>KBSWorld.kr@SD</t>
  </si>
  <si>
    <t>AniplusAsia.sg@SD</t>
  </si>
  <si>
    <t>NHKWorldPremium.jp@SD</t>
  </si>
  <si>
    <t>KPlus.sg@SD</t>
  </si>
  <si>
    <t>DuniaLain.id@SD</t>
  </si>
  <si>
    <t>ABCAustralia.au@SD</t>
  </si>
  <si>
    <t>ArirangTV.kr@SD</t>
  </si>
  <si>
    <t>CCTV4Asia.cn@SD</t>
  </si>
  <si>
    <t>CitraDrama.id@SD</t>
  </si>
  <si>
    <t>CitraDangdut.id@SD</t>
  </si>
  <si>
    <t>ONE.sg@SD</t>
  </si>
  <si>
    <t>PhoenixChineseChannel.hk@SD</t>
  </si>
  <si>
    <t>ChineseDrama.hk@SD</t>
  </si>
  <si>
    <t>HBOAsia.sg@SD</t>
  </si>
  <si>
    <t>HBOSignatureAsia.sg@SD</t>
  </si>
  <si>
    <t>CinemaxAsia.sg@SD</t>
  </si>
  <si>
    <t>HBOHitsAsia.sg@SD</t>
  </si>
  <si>
    <t>HBOFamilyAsia.sg@SD</t>
  </si>
  <si>
    <t>HITSMovies.sg@SD</t>
  </si>
  <si>
    <t>Thrill.hk@SD</t>
  </si>
  <si>
    <t>CelestialMoviesIndonesia.id@SD</t>
  </si>
  <si>
    <t>tvNMoviesAsia.hk@SD</t>
  </si>
  <si>
    <t>ZeeBioskop.id@SD</t>
  </si>
  <si>
    <t>CinemaWorld.my@SD</t>
  </si>
  <si>
    <t>Galaxy.id@SD</t>
  </si>
  <si>
    <t>BioskopIndonesia.id@SD</t>
  </si>
  <si>
    <t>Flik.id@SD</t>
  </si>
  <si>
    <t>IMC.id@SD</t>
  </si>
  <si>
    <t>GalaxyPremium.id@SD</t>
  </si>
  <si>
    <t>SPOTV.id@SD</t>
  </si>
  <si>
    <t>SPOTV2.id@SD</t>
  </si>
  <si>
    <t>FightSports.us@SD</t>
  </si>
  <si>
    <t>ChampionsTV1.id@SD</t>
  </si>
  <si>
    <t>ChampionsTV2.id@SD</t>
  </si>
  <si>
    <t>ChampionsTV5.id@SD</t>
  </si>
  <si>
    <t>ChampionsTV6.id@SD</t>
  </si>
  <si>
    <t>NBATV.us@SD</t>
  </si>
  <si>
    <t>VoliTV.id@SD</t>
  </si>
  <si>
    <t>WSport.za@SD</t>
  </si>
  <si>
    <t>HorizonSports.us@SD</t>
  </si>
  <si>
    <t>EuronewsEnglish.fr@SD</t>
  </si>
  <si>
    <t>CNBCAsia.sg@SD</t>
  </si>
  <si>
    <t>CNA.sg@SD</t>
  </si>
  <si>
    <t>NHKWorldJapan.jp@SD</t>
  </si>
  <si>
    <t>TVBSNews.tw@SD</t>
  </si>
  <si>
    <t>TRTWorld.tr@SD</t>
  </si>
  <si>
    <t>PhoenixInfoNewsChannel.hk@SD</t>
  </si>
  <si>
    <t>RodjaTV.id@SD</t>
  </si>
  <si>
    <t>MTATV.id@SD</t>
  </si>
  <si>
    <t>MQTV.id@SD</t>
  </si>
  <si>
    <t>TV9Nusantara.id@SD</t>
  </si>
  <si>
    <t>TVMu.id@SD</t>
  </si>
  <si>
    <t>TVMUI.id@SD</t>
  </si>
  <si>
    <t>TVRIWorld.id@SD</t>
  </si>
  <si>
    <t>RCTI.id@SD</t>
  </si>
  <si>
    <t>GTV.id@SD</t>
  </si>
  <si>
    <t>AlJazeera.qa@Arabic</t>
  </si>
  <si>
    <t>HITSNOW.sg@SD</t>
  </si>
  <si>
    <t>bbcnews</t>
  </si>
  <si>
    <t>BBC News</t>
  </si>
  <si>
    <t>https://images.indihometv.com/images/channels/imageCir_180x180_BBC_NEWS_2025_12_03_10_30_32.jpg</t>
  </si>
  <si>
    <t>cbeebies</t>
  </si>
  <si>
    <t>CBeebies</t>
  </si>
  <si>
    <t>https://images.indihometv.com/images/channels/imageCir_180x180_CBeebies_2025_12_03_10_31_32.jpg</t>
  </si>
  <si>
    <t>MNCTV.id@SD</t>
  </si>
  <si>
    <t>championsgolf1</t>
  </si>
  <si>
    <t>championsgolf2</t>
  </si>
  <si>
    <t>Champions Golf 1</t>
  </si>
  <si>
    <t>Champions Golf 2</t>
  </si>
  <si>
    <t>RT.ru@SD</t>
  </si>
  <si>
    <t>https://thumbor.prod.vidiocdn.com/iASUDB26jxl_lTZyJTM2mmr3fQY=/230x230/filters:quality(70)/vidio-web-prod-livestreaming/uploads/livestreaming/square_image/18190/541269.png</t>
  </si>
  <si>
    <t>https://thumbor.prod.vidiocdn.com/5RyqXQzhOVE-gf2Y_IG1e5heJV8=/230x230/filters:quality(70)/vidio-web-prod-livestreaming/uploads/livestreaming/square_image/18189/8180b2.png</t>
  </si>
  <si>
    <t>CBeebiesAsia.uk@SD</t>
  </si>
  <si>
    <t>MoonbugKids.uk@SD</t>
  </si>
  <si>
    <t>(C) 2023-2026 Toha &lt;tohenk@yahoo.com&gt;</t>
  </si>
  <si>
    <t>MAXKids</t>
  </si>
  <si>
    <t>https://images.indihometv.com/images/channels/imageCir_180x180_CLMAXKids_2026_01_31_00_41_18.jpg</t>
  </si>
  <si>
    <t>maxeats</t>
  </si>
  <si>
    <t>MAXEats</t>
  </si>
  <si>
    <t>https://images.indihometv.com/images/channels/imageCir_180x180_CLMAXSEats_2026_01_30_13_57_28.jpg</t>
  </si>
  <si>
    <t>maxstreak</t>
  </si>
  <si>
    <t>MAXStreak</t>
  </si>
  <si>
    <t>https://images.indihometv.com/images/channels/imageCir_180x180_CLMAXStreak_2026_01_30_13_56_10.jpg</t>
  </si>
  <si>
    <t>https://images.indihometv.com/images/channels/imageCir_180_x_180__2026_02_12_15_17_01.png</t>
  </si>
  <si>
    <t>MAXReels</t>
  </si>
  <si>
    <t>https://images.indihometv.com/images/channels/imageCir_180x180_CLMAXSReels_2026_01_31_00_37_47.jpg</t>
  </si>
  <si>
    <t>MAXSport</t>
  </si>
  <si>
    <t>https://images.indihometv.com/images/channels/imageCir_180x180_CLMAXSports_2026_01_31_00_39_38.jpg</t>
  </si>
  <si>
    <t>MAXStreak.id@SD</t>
  </si>
  <si>
    <t>239.1.1.9</t>
  </si>
  <si>
    <t>MAXEats.id@SD</t>
  </si>
  <si>
    <t>MAXReels.id@SD</t>
  </si>
  <si>
    <t>MAXKids.id@SD</t>
  </si>
  <si>
    <t>MAXSports.id@SD</t>
  </si>
  <si>
    <t>Gen Ent &amp; Series</t>
  </si>
  <si>
    <t>https://images.maxstream.tv/sites/default/files/entry/0_armtdhuu/landscape_carousel_hdpi.webp</t>
  </si>
  <si>
    <t>afn</t>
  </si>
  <si>
    <t>https://images.maxstream.tv/sites/default/files/entry/0_3q4th1ok/landscape_carousel_hdpi.webp</t>
  </si>
  <si>
    <t>Al Jazeera</t>
  </si>
  <si>
    <t>https://images.maxstream.tv/sites/default/files/entry/0_ss6ehuur/landscape_carousel_hdpi.webp</t>
  </si>
  <si>
    <t>https://images.maxstream.tv/sites/default/files/entry/0_oyquzepi/landscape_carousel_hdpi.webp</t>
  </si>
  <si>
    <t>https://images.maxstream.tv/sites/default/files/entry/0_86sal99e/landscape_carousel_hdpi.webp</t>
  </si>
  <si>
    <t>https://images.maxstream.tv/sites/default/files/entry/0_bidjh24z/landscape_carousel_hdpi.webp</t>
  </si>
  <si>
    <t>ANTARA TV</t>
  </si>
  <si>
    <t>Local TV</t>
  </si>
  <si>
    <t>https://images.maxstream.tv/sites/default/files/entry/0_3n2pn24p/landscape_carousel_hdpi.webp</t>
  </si>
  <si>
    <t>https://images.maxstream.tv/sites/default/files/entry/0_6y0oafne/landscape_carousel_hdpi.webp</t>
  </si>
  <si>
    <t>https://images.maxstream.tv/sites/default/files/entry/0_wd3w16vp/landscape_carousel_hdpi.webp</t>
  </si>
  <si>
    <t>https://images.maxstream.tv/sites/default/files/entry/0_kk9nyx3y/landscape_carousel_hdpi.webp</t>
  </si>
  <si>
    <t>https://images.maxstream.tv/sites/default/files/entry/0_14pjqs63/landscape_carousel_hdpi.webp</t>
  </si>
  <si>
    <t>Berita Satu</t>
  </si>
  <si>
    <t>https://images.maxstream.tv/sites/default/files/entry/0_e2vtvhqt/landscape_carousel_hdpi.webp</t>
  </si>
  <si>
    <t>Movies and Entertainment</t>
  </si>
  <si>
    <t>https://images.maxstream.tv/sites/default/files/entry/0_urq0w0mp/landscape_carousel_hdpi.webp</t>
  </si>
  <si>
    <t>Bloomberg</t>
  </si>
  <si>
    <t>https://images.maxstream.tv/sites/default/files/entry/0_ayq5nxva/landscape_carousel_hdpi.webp</t>
  </si>
  <si>
    <t>btv</t>
  </si>
  <si>
    <t>https://images.maxstream.tv/sites/default/files/entry/0_gv023ysj/landscape_carousel_hdpi.webp</t>
  </si>
  <si>
    <t>https://images.maxstream.tv/sites/default/files/entry/0_84kdjuht/landscape_carousel_hdpi.webp</t>
  </si>
  <si>
    <t>CCTV 4</t>
  </si>
  <si>
    <t>https://images.maxstream.tv/sites/default/files/entry/0_xvxr7u43/landscape_carousel_hdpi.webp</t>
  </si>
  <si>
    <t>Celestial Movies</t>
  </si>
  <si>
    <t>https://images.maxstream.tv/sites/default/files/entry/0_vq7m2eeg/landscape_carousel_hdpi.webp</t>
  </si>
  <si>
    <t>cgtn</t>
  </si>
  <si>
    <t>CGTN</t>
  </si>
  <si>
    <t>https://images.maxstream.tv/sites/default/files/entry/0_7csp48nr/landscape_carousel_hdpi.jpg</t>
  </si>
  <si>
    <t>https://images.maxstream.tv/sites/default/files/entry/0_ypi11pce/landscape_carousel_hdpi.webp</t>
  </si>
  <si>
    <t>https://images.maxstream.tv/sites/default/files/entry/0_yvb8lpzs/landscape_carousel_hdpi.webp</t>
  </si>
  <si>
    <t>CinemaWorld</t>
  </si>
  <si>
    <t>https://images.maxstream.tv/sites/default/files/entry/0_s7gzj2we/landscape_carousel_hdpi.webp</t>
  </si>
  <si>
    <t>https://images.maxstream.tv/sites/default/files/entry/0_7vx2webw/landscape_carousel_hdpi.webp</t>
  </si>
  <si>
    <t>https://images.maxstream.tv/sites/default/files/entry/0_n1y6rlt4/landscape_carousel_hdpi.webp</t>
  </si>
  <si>
    <t>https://images.maxstream.tv/sites/default/files/entry/0_k0hnuzu4/landscape_carousel_hdpi.webp</t>
  </si>
  <si>
    <t>cna</t>
  </si>
  <si>
    <t>CNA</t>
  </si>
  <si>
    <t>https://images.maxstream.tv/sites/default/files/entry/0_xi5ysa4r/landscape_carousel_hdpi.webp</t>
  </si>
  <si>
    <t>https://images.maxstream.tv/sites/default/files/entry/0_af2rxjmy/landscape_carousel_hdpi.webp</t>
  </si>
  <si>
    <t>https://images.maxstream.tv/sites/default/files/entry/0_do3tuwa9/landscape_carousel_hdpi.webp</t>
  </si>
  <si>
    <t>https://images.maxstream.tv/sites/default/files/entry/0_cavdcfwq/landscape_carousel_hdpi.webp</t>
  </si>
  <si>
    <t>https://images.maxstream.tv/sites/default/files/entry/0_455xkjp3/landscape_carousel_hdpi.webp</t>
  </si>
  <si>
    <t>https://images.maxstream.tv/sites/default/files/entry/0_7gka297f/landscape_carousel_hdpi.webp</t>
  </si>
  <si>
    <t>Curiosity Channel</t>
  </si>
  <si>
    <t>https://images.maxstream.tv/sites/default/files/entry/0_3karb7oy/landscape_carousel_hdpi.webp</t>
  </si>
  <si>
    <t>https://images.maxstream.tv/sites/default/files/entry/0_enfa8a2h/landscape_carousel_hdpi.webp</t>
  </si>
  <si>
    <t>DAAI TV</t>
  </si>
  <si>
    <t>https://images.maxstream.tv/sites/default/files/entry/0_wfgm77pv/landscape_carousel_hdpi.webp</t>
  </si>
  <si>
    <t>https://images.maxstream.tv/sites/default/files/entry/0_nhmzmt8u/landscape_carousel_hdpi.webp</t>
  </si>
  <si>
    <t>https://images.maxstream.tv/sites/default/files/entry/0_efpv3846/landscape_carousel_hdpi.webp</t>
  </si>
  <si>
    <t>Religious</t>
  </si>
  <si>
    <t>https://images.maxstream.tv/sites/default/files/entry/0_muy891nb/landscape_carousel_hdpi.webp</t>
  </si>
  <si>
    <t>DreamWorks</t>
  </si>
  <si>
    <t>https://images.maxstream.tv/sites/default/files/entry/0_h4cdmhi1/landscape_carousel_hdpi.webp</t>
  </si>
  <si>
    <t>Dunia Anak</t>
  </si>
  <si>
    <t>https://images.maxstream.tv/sites/default/files/entry/0_3wiy77wh/landscape_carousel_hdpi.webp</t>
  </si>
  <si>
    <t>https://images.maxstream.tv/sites/default/files/entry/0_s5oc8paq/landscape_carousel_hdpi.webp</t>
  </si>
  <si>
    <t>DW English</t>
  </si>
  <si>
    <t>https://images.maxstream.tv/sites/default/files/entry/0_urjthrku/landscape_carousel_hdpi.webp</t>
  </si>
  <si>
    <t>https://images.maxstream.tv/sites/default/files/entry/0_nt2t5yrg/landscape_carousel_hdpi.webp</t>
  </si>
  <si>
    <t>Fashion TV</t>
  </si>
  <si>
    <t>https://images.maxstream.tv/sites/default/files/entry/0_brgzui5c/landscape_carousel_hdpi.webp</t>
  </si>
  <si>
    <t>Fight Sports</t>
  </si>
  <si>
    <t>Sports Channel</t>
  </si>
  <si>
    <t>https://images.maxstream.tv/sites/default/files/entry/0_chy9zuqn/landscape_carousel_hdpi.webp</t>
  </si>
  <si>
    <t>https://images.maxstream.tv/sites/default/files/entry/0_y6gkb9ud/landscape_carousel_hdpi.webp</t>
  </si>
  <si>
    <t>https://images.maxstream.tv/sites/default/files/entry/0_gvz1a46f/landscape_carousel_hdpi.webp</t>
  </si>
  <si>
    <t>https://images.maxstream.tv/sites/default/files/entry/0_anqaquwl/landscape_carousel_hdpi.webp</t>
  </si>
  <si>
    <t>https://images.maxstream.tv/sites/default/files/entry/0_menqjsva/landscape_carousel_hdpi.webp</t>
  </si>
  <si>
    <t>gtv</t>
  </si>
  <si>
    <t>https://images.maxstream.tv/sites/default/files/entry/0_p7vlqu2a/landscape_carousel_hdpi.webp</t>
  </si>
  <si>
    <t>https://images.maxstream.tv/sites/default/files/entry/0_xgdr0qbd/landscape_carousel_hdpi.webp</t>
  </si>
  <si>
    <t>https://images.maxstream.tv/sites/default/files/entry/0_qqui53si/landscape_carousel_hdpi.webp</t>
  </si>
  <si>
    <t>https://images.maxstream.tv/sites/default/files/entry/0_k7eh4erk/landscape_carousel_hdpi.webp</t>
  </si>
  <si>
    <t>https://images.maxstream.tv/sites/default/files/entry/0_s6bo567h/landscape_carousel_hdpi.webp</t>
  </si>
  <si>
    <t>https://images.maxstream.tv/sites/default/files/entry/0_uvp3wz05/landscape_carousel_hdpi.webp</t>
  </si>
  <si>
    <t>https://images.maxstream.tv/sites/default/files/entry/0_k9r5lq30/landscape_carousel_hdpi.webp</t>
  </si>
  <si>
    <t>HITS</t>
  </si>
  <si>
    <t>https://images.maxstream.tv/sites/default/files/entry/0_hd1c30bo/landscape_carousel_hdpi.webp</t>
  </si>
  <si>
    <t>HITS MOVIES</t>
  </si>
  <si>
    <t>https://images.maxstream.tv/sites/default/files/entry/0_zrs82szk/landscape_carousel_hdpi.webp</t>
  </si>
  <si>
    <t>https://images.maxstream.tv/sites/default/files/entry/0_zg4mwqv7/landscape_carousel_hdpi.webp</t>
  </si>
  <si>
    <t>https://images.maxstream.tv/sites/default/files/entry/0_h0tqx9o4/landscape_carousel_hdpi.webp</t>
  </si>
  <si>
    <t>https://images.maxstream.tv/sites/default/files/entry/0_1plxq8l8/landscape_carousel_hdpi.webp</t>
  </si>
  <si>
    <t>IDX Channel</t>
  </si>
  <si>
    <t>https://images.maxstream.tv/sites/default/files/entry/0_rfc1zphz/landscape_carousel_hdpi.webp</t>
  </si>
  <si>
    <t>https://images.maxstream.tv/sites/default/files/entry/0_blvd5qf0/landscape_carousel_hdpi.webp</t>
  </si>
  <si>
    <t>https://images.maxstream.tv/sites/default/files/entry/0_y2cx87w8/landscape_carousel_hdpi.webp</t>
  </si>
  <si>
    <t>Inews</t>
  </si>
  <si>
    <t>https://images.maxstream.tv/sites/default/files/entry/0_fn0qos3d/landscape_carousel_hdpi.webp</t>
  </si>
  <si>
    <t>JAK TV</t>
  </si>
  <si>
    <t>https://images.maxstream.tv/sites/default/files/entry/0_rkv5gee2/landscape_carousel_hdpi.webp</t>
  </si>
  <si>
    <t>https://images.maxstream.tv/sites/default/files/entry/0_lrp6fabo/landscape_carousel_hdpi.webp</t>
  </si>
  <si>
    <t>https://images.maxstream.tv/sites/default/files/entry/0_qesewoxv/landscape_carousel_hdpi.webp</t>
  </si>
  <si>
    <t>K Plus</t>
  </si>
  <si>
    <t>https://images.maxstream.tv/sites/default/files/entry/0_8ijijzlz/landscape_carousel_hdpi.webp</t>
  </si>
  <si>
    <t>https://images.maxstream.tv/sites/default/files/entry/0_4oku2lux/landscape_carousel_hdpi.webp</t>
  </si>
  <si>
    <t>KIX</t>
  </si>
  <si>
    <t>https://images.maxstream.tv/sites/default/files/entry/0_jqlzd1wf/landscape_carousel_hdpi.webp</t>
  </si>
  <si>
    <t>https://images.maxstream.tv/sites/default/files/entry/0_930nfsqj/landscape_carousel_hdpi.webp</t>
  </si>
  <si>
    <t>https://images.maxstream.tv/sites/default/files/entry/0_b65cebi2/landscape_carousel_hdpi.webp</t>
  </si>
  <si>
    <t>https://images.maxstream.tv/sites/default/files/entry/0_moy42tni/landscape_carousel_hdpi.webp</t>
  </si>
  <si>
    <t>https://images.maxstream.tv/sites/default/files/entry/0_z7t4c568/landscape_carousel_hdpi.webp</t>
  </si>
  <si>
    <t>maxkids</t>
  </si>
  <si>
    <t>https://images.maxstream.tv/sites/default/files/entry/0_ynh2anw4/landscape_carousel_hdpi.webp</t>
  </si>
  <si>
    <t>maxreels</t>
  </si>
  <si>
    <t>https://images.maxstream.tv/sites/default/files/entry/0_psqdb637/landscape_carousel_hdpi.webp</t>
  </si>
  <si>
    <t>maxsports</t>
  </si>
  <si>
    <t>MAXSports</t>
  </si>
  <si>
    <t>https://images.maxstream.tv/sites/default/files/entry/0_1u20u1ok/landscape_carousel_hdpi.webp</t>
  </si>
  <si>
    <t>https://images.maxstream.tv/sites/default/files/entry/0_720wy4x6/landscape_carousel_hdpi.webp</t>
  </si>
  <si>
    <t>MAXStream TV</t>
  </si>
  <si>
    <t>https://images.maxstream.tv/sites/default/files/entry/0_ixad1kw8/landscape_carousel_hdpi.webp</t>
  </si>
  <si>
    <t>mdtv</t>
  </si>
  <si>
    <t>https://images.maxstream.tv/sites/default/files/entry/0_keojjla6/landscape_carousel_hdpi.webp</t>
  </si>
  <si>
    <t>https://images.maxstream.tv/sites/default/files/entry/0_0hjh536t/landscape_carousel_hdpi.webp</t>
  </si>
  <si>
    <t>https://images.maxstream.tv/sites/default/files/entry/0_2jt2oz81/landscape_carousel_hdpi.webp</t>
  </si>
  <si>
    <t>MNC TV</t>
  </si>
  <si>
    <t>https://images.maxstream.tv/sites/default/files/entry/0_3k1552mp/landscape_carousel_hdpi.webp</t>
  </si>
  <si>
    <t>moji</t>
  </si>
  <si>
    <t>Moji</t>
  </si>
  <si>
    <t>https://images.maxstream.tv/sites/default/files/entry/0_o6n0u3cx/landscape_carousel_hdpi.webp</t>
  </si>
  <si>
    <t>https://images.maxstream.tv/sites/default/files/entry/0_0pf1skv6/landscape_carousel_hdpi.webp</t>
  </si>
  <si>
    <t>https://images.maxstream.tv/sites/default/files/entry/0_voqn75wc/landscape_carousel_hdpi.webp</t>
  </si>
  <si>
    <t>MTA TV</t>
  </si>
  <si>
    <t>https://images.maxstream.tv/sites/default/files/entry/0_5zvla2hz/landscape_carousel_hdpi.webp</t>
  </si>
  <si>
    <t>https://images.maxstream.tv/sites/default/files/entry/0_qe3k01sq/landscape_carousel_hdpi.webp</t>
  </si>
  <si>
    <t>My Kidz</t>
  </si>
  <si>
    <t>https://images.maxstream.tv/sites/default/files/entry/0_1qolvnju/landscape_carousel_hdpi.webp</t>
  </si>
  <si>
    <t>New TV Comprehensive</t>
  </si>
  <si>
    <t>https://images.maxstream.tv/sites/default/files/entry/0_wz2sim1e/landscape_carousel_hdpi.webp</t>
  </si>
  <si>
    <t>New TV Finance</t>
  </si>
  <si>
    <t>https://images.maxstream.tv/sites/default/files/entry/0_2xlnqlst/landscape_carousel_hdpi.webp</t>
  </si>
  <si>
    <t>New TV Variety</t>
  </si>
  <si>
    <t>https://images.maxstream.tv/sites/default/files/entry/0_emchwlj8/landscape_carousel_hdpi.webp</t>
  </si>
  <si>
    <t>NHK World Japan</t>
  </si>
  <si>
    <t>https://images.maxstream.tv/sites/default/files/entry/0_mgr46jjf/landscape_carousel_hdpi.webp</t>
  </si>
  <si>
    <t>https://images.maxstream.tv/sites/default/files/entry/0_pz6xuyqn/landscape_carousel_hdpi.webp</t>
  </si>
  <si>
    <t>https://images.maxstream.tv/sites/default/files/entry/0_2sdk0nou/landscape_carousel_hdpi.webp</t>
  </si>
  <si>
    <t>one</t>
  </si>
  <si>
    <t>ONE</t>
  </si>
  <si>
    <t>https://images.maxstream.tv/sites/default/files/entry/0_awblng5d/landscape_carousel_hdpi.webp</t>
  </si>
  <si>
    <t>https://images.maxstream.tv/sites/default/files/entry/0_gtyd8oju/landscape_carousel_hdpi.webp</t>
  </si>
  <si>
    <t>Phoenix Info News</t>
  </si>
  <si>
    <t>https://images.maxstream.tv/sites/default/files/entry/0_40isuyzv/landscape_carousel_hdpi.webp</t>
  </si>
  <si>
    <t>prambors</t>
  </si>
  <si>
    <t>https://images.maxstream.tv/sites/default/files/entry/0_e59etfmm/landscape_carousel_hdpi.webp</t>
  </si>
  <si>
    <t>https://images.maxstream.tv/sites/default/files/entry/0_nwsd3m5r/landscape_carousel_hdpi.webp</t>
  </si>
  <si>
    <t>https://images.maxstream.tv/sites/default/files/entry/0_1gshn4os/landscape_carousel_hdpi.webp</t>
  </si>
  <si>
    <t>https://images.maxstream.tv/sites/default/files/entry/0_a98kaoda/landscape_carousel_hdpi.webp</t>
  </si>
  <si>
    <t>https://images.maxstream.tv/sites/default/files/entry/0_9km1pl2v/landscape_carousel_hdpi.webp</t>
  </si>
  <si>
    <t>RTV</t>
  </si>
  <si>
    <t>https://images.maxstream.tv/sites/default/files/entry/0_hii9fpgx/landscape_carousel_hdpi.webp</t>
  </si>
  <si>
    <t>https://images.maxstream.tv/sites/default/files/entry/0_xgmdprq0/landscape_carousel_hdpi.webp</t>
  </si>
  <si>
    <t>Shenzhen TV</t>
  </si>
  <si>
    <t>https://images.maxstream.tv/sites/default/files/entry/0_uxjvyh90/landscape_carousel_hdpi.webp</t>
  </si>
  <si>
    <t>Sindo News</t>
  </si>
  <si>
    <t>https://images.maxstream.tv/sites/default/files/entry/0_nhoeiawb/landscape_carousel_hdpi.webp</t>
  </si>
  <si>
    <t>Sinpo TV</t>
  </si>
  <si>
    <t>https://images.maxstream.tv/sites/default/files/entry/0_pfklvvig/landscape_carousel_hdpi.webp</t>
  </si>
  <si>
    <t>spotv</t>
  </si>
  <si>
    <t>https://images.maxstream.tv/sites/default/files/entry/0_e9m9jzif/landscape_carousel_hdpi.webp</t>
  </si>
  <si>
    <t>https://images.maxstream.tv/sites/default/files/entry/0_mubcipck/landscape_carousel_hdpi.webp</t>
  </si>
  <si>
    <t>https://images.maxstream.tv/sites/default/files/entry/0_jhb1o6kj/landscape_carousel_hdpi.webp</t>
  </si>
  <si>
    <t>The Indonesia Channel</t>
  </si>
  <si>
    <t>https://images.maxstream.tv/sites/default/files/entry/0_cms3x58k/landscape_carousel_hdpi.webp</t>
  </si>
  <si>
    <t>https://images.maxstream.tv/sites/default/files/entry/0_wiy2wbmv/landscape_carousel_hdpi.webp</t>
  </si>
  <si>
    <t>https://images.maxstream.tv/sites/default/files/entry/0_57ujtr57/landscape_carousel_hdpi.webp</t>
  </si>
  <si>
    <t>TRANS 7</t>
  </si>
  <si>
    <t>https://images.maxstream.tv/sites/default/files/entry/0_a7dno7wk/landscape_carousel_hdpi.webp</t>
  </si>
  <si>
    <t>Trans TV</t>
  </si>
  <si>
    <t>https://images.maxstream.tv/sites/default/files/entry/0_uakgnhip/landscape_carousel_hdpi.webp</t>
  </si>
  <si>
    <t>TV MU</t>
  </si>
  <si>
    <t>https://images.maxstream.tv/sites/default/files/entry/0_j93el3os/landscape_carousel_hdpi.webp</t>
  </si>
  <si>
    <t>TV MUI</t>
  </si>
  <si>
    <t>https://images.maxstream.tv/sites/default/files/entry/0_6r3crrac/landscape_carousel_hdpi.webp</t>
  </si>
  <si>
    <t>https://images.maxstream.tv/sites/default/files/entry/0_qy8d9ng1/landscape_carousel_hdpi.webp</t>
  </si>
  <si>
    <t>TV5 MONDE</t>
  </si>
  <si>
    <t>https://images.maxstream.tv/sites/default/files/entry/0_6y33rxed/landscape_carousel_hdpi.webp</t>
  </si>
  <si>
    <t>TV9</t>
  </si>
  <si>
    <t>https://images.maxstream.tv/sites/default/files/entry/0_cbqtpojf/landscape_carousel_hdpi.webp</t>
  </si>
  <si>
    <t>https://images.maxstream.tv/sites/default/files/entry/0_kp6grg1f/landscape_carousel_hdpi.webp</t>
  </si>
  <si>
    <t>tvN</t>
  </si>
  <si>
    <t>https://images.maxstream.tv/sites/default/files/entry/0_r16b30de/landscape_carousel_hdpi.webp</t>
  </si>
  <si>
    <t>tvN Movies</t>
  </si>
  <si>
    <t>https://images.maxstream.tv/sites/default/files/entry/0_2ayrv6w3/landscape_carousel_hdpi.webp</t>
  </si>
  <si>
    <t>https://images.maxstream.tv/sites/default/files/entry/0_vu7lebet/landscape_carousel_hdpi.webp</t>
  </si>
  <si>
    <t>TVRI World</t>
  </si>
  <si>
    <t>https://images.maxstream.tv/sites/default/files/entry/0_iu9ah7cu/landscape_carousel_hdpi.webp</t>
  </si>
  <si>
    <t>U Channel</t>
  </si>
  <si>
    <t>https://images.maxstream.tv/sites/default/files/entry/0_7i9iue7v/landscape_carousel_hdpi.webp</t>
  </si>
  <si>
    <t>Zee Bioskop</t>
  </si>
  <si>
    <t>https://images.maxstream.tv/sites/default/files/entry/0_k6etp5l6/landscape_carousel_hdpi.webp</t>
  </si>
  <si>
    <t>Zhejiang Int</t>
  </si>
  <si>
    <t>https://images.maxstream.tv/sites/default/files/entry/0_r3bzcf53/landscape_carousel_hdpi.webp</t>
  </si>
  <si>
    <t>antaratv</t>
  </si>
  <si>
    <t>celestialmovies</t>
  </si>
  <si>
    <t>citradrama</t>
  </si>
  <si>
    <t>curiositychannel</t>
  </si>
  <si>
    <t>davincilearning</t>
  </si>
  <si>
    <t>discoverychannel</t>
  </si>
  <si>
    <t>dmitv</t>
  </si>
  <si>
    <t>dwenglish</t>
  </si>
  <si>
    <t>fightsports</t>
  </si>
  <si>
    <t>hitsmovies</t>
  </si>
  <si>
    <t>horizonsports</t>
  </si>
  <si>
    <t>idxchannel</t>
  </si>
  <si>
    <t>jawapostv</t>
  </si>
  <si>
    <t>maxstreamtv</t>
  </si>
  <si>
    <t>musikindonesia</t>
  </si>
  <si>
    <t>mykidz</t>
  </si>
  <si>
    <t>nhkworldjapan</t>
  </si>
  <si>
    <t>nickjunior</t>
  </si>
  <si>
    <t>rockaction</t>
  </si>
  <si>
    <t>rockentertainment</t>
  </si>
  <si>
    <t>shenzhentv</t>
  </si>
  <si>
    <t>sindonews</t>
  </si>
  <si>
    <t>spotv2</t>
  </si>
  <si>
    <t>theindonesiachannel</t>
  </si>
  <si>
    <t>tvbsnews</t>
  </si>
  <si>
    <t>tvmu</t>
  </si>
  <si>
    <t>tvmui</t>
  </si>
  <si>
    <t>zeebioskop</t>
  </si>
  <si>
    <t>zhejiangint</t>
  </si>
  <si>
    <t>SITE</t>
  </si>
  <si>
    <t>SITE_ID</t>
  </si>
  <si>
    <t>LANG</t>
  </si>
  <si>
    <t>CHANNEL</t>
  </si>
  <si>
    <t>GID</t>
  </si>
  <si>
    <t>cubmu.com</t>
  </si>
  <si>
    <t>dens.tv</t>
  </si>
  <si>
    <t>AlQuranAlKareemTV.sa@SD</t>
  </si>
  <si>
    <t>BBCNews.uk@AsiaPacific</t>
  </si>
  <si>
    <t>iNews.id@SD</t>
  </si>
  <si>
    <t>tivie.id</t>
  </si>
  <si>
    <t>vidio.com</t>
  </si>
  <si>
    <t>visionplus.id</t>
  </si>
  <si>
    <t>en</t>
  </si>
  <si>
    <t>DiscoveryChannelSoutheastAsia.sg@SD</t>
  </si>
  <si>
    <t>nowplayer.now.com</t>
  </si>
  <si>
    <t>DMITV.id@SD</t>
  </si>
  <si>
    <t>MDTV.id@HD</t>
  </si>
  <si>
    <t>SinPoTV.id@HD</t>
  </si>
  <si>
    <t>ChampionsGolf1.id@HD</t>
  </si>
  <si>
    <t>ChampionsGolf2.id@HD</t>
  </si>
  <si>
    <t>ROCKAction.sg@SD</t>
  </si>
  <si>
    <t>pickx.be</t>
  </si>
  <si>
    <t>UID2366</t>
  </si>
  <si>
    <t>W Sports</t>
  </si>
  <si>
    <t>ZhejiangInternationalChannel.cn@SD</t>
  </si>
  <si>
    <t>ShenzhenTV.cn@SD</t>
  </si>
  <si>
    <t>maxstream.tv</t>
  </si>
  <si>
    <t>NewTVComprehensive.id@SD</t>
  </si>
  <si>
    <t>NewTVFinance.id@SD</t>
  </si>
  <si>
    <t>NewTVVariety.id@SD</t>
  </si>
  <si>
    <t>238</t>
  </si>
  <si>
    <t>id</t>
  </si>
  <si>
    <t>197</t>
  </si>
  <si>
    <t>204</t>
  </si>
  <si>
    <t>Al Quran Al Kareem</t>
  </si>
  <si>
    <t>364</t>
  </si>
  <si>
    <t>261</t>
  </si>
  <si>
    <t>214</t>
  </si>
  <si>
    <t>230</t>
  </si>
  <si>
    <t>245</t>
  </si>
  <si>
    <t>266</t>
  </si>
  <si>
    <t>229</t>
  </si>
  <si>
    <t>259</t>
  </si>
  <si>
    <t>CGTN.cn@SD</t>
  </si>
  <si>
    <t>234</t>
  </si>
  <si>
    <t>247</t>
  </si>
  <si>
    <t>Channel Jowo</t>
  </si>
  <si>
    <t>209</t>
  </si>
  <si>
    <t>Channel NewsAsia</t>
  </si>
  <si>
    <t>237</t>
  </si>
  <si>
    <t>213</t>
  </si>
  <si>
    <t>212</t>
  </si>
  <si>
    <t>241</t>
  </si>
  <si>
    <t>244</t>
  </si>
  <si>
    <t>DaystarTV.us@SD</t>
  </si>
  <si>
    <t>DayStar</t>
  </si>
  <si>
    <t>278</t>
  </si>
  <si>
    <t>DensFoodChannel.id@SD</t>
  </si>
  <si>
    <t>DENS Food Channel</t>
  </si>
  <si>
    <t>279</t>
  </si>
  <si>
    <t>DensPlay.id@SD</t>
  </si>
  <si>
    <t>DENS Play Channel</t>
  </si>
  <si>
    <t>280</t>
  </si>
  <si>
    <t>DensShowBiz.id@SD</t>
  </si>
  <si>
    <t>DENS Show Bizz</t>
  </si>
  <si>
    <t>186</t>
  </si>
  <si>
    <t>265</t>
  </si>
  <si>
    <t>208</t>
  </si>
  <si>
    <t>Eat N Go</t>
  </si>
  <si>
    <t>199</t>
  </si>
  <si>
    <t>196</t>
  </si>
  <si>
    <t>256</t>
  </si>
  <si>
    <t>Fight.us@SD</t>
  </si>
  <si>
    <t>Fight TV Premium</t>
  </si>
  <si>
    <t>258</t>
  </si>
  <si>
    <t>219</t>
  </si>
  <si>
    <t>218</t>
  </si>
  <si>
    <t>216</t>
  </si>
  <si>
    <t>243</t>
  </si>
  <si>
    <t>284</t>
  </si>
  <si>
    <t>200</t>
  </si>
  <si>
    <t>Khazanah.id@SD</t>
  </si>
  <si>
    <t>Khazanah</t>
  </si>
  <si>
    <t>220</t>
  </si>
  <si>
    <t>221</t>
  </si>
  <si>
    <t>211</t>
  </si>
  <si>
    <t>MetroTV</t>
  </si>
  <si>
    <t>222</t>
  </si>
  <si>
    <t>195</t>
  </si>
  <si>
    <t>240</t>
  </si>
  <si>
    <t>NabawiTV.id@SD</t>
  </si>
  <si>
    <t>Nabawi TV</t>
  </si>
  <si>
    <t>236</t>
  </si>
  <si>
    <t>NHK World Premium</t>
  </si>
  <si>
    <t>263</t>
  </si>
  <si>
    <t>!nsert</t>
  </si>
  <si>
    <t>268</t>
  </si>
  <si>
    <t>OneTV.in@SD</t>
  </si>
  <si>
    <t>One TV</t>
  </si>
  <si>
    <t>242</t>
  </si>
  <si>
    <t>PijarTV.id@SD</t>
  </si>
  <si>
    <t>Pijar TV</t>
  </si>
  <si>
    <t>257</t>
  </si>
  <si>
    <t>PSJTV.id@SD</t>
  </si>
  <si>
    <t>PSJ TV</t>
  </si>
  <si>
    <t>246</t>
  </si>
  <si>
    <t>Rtv</t>
  </si>
  <si>
    <t>217</t>
  </si>
  <si>
    <t>260</t>
  </si>
  <si>
    <t>215</t>
  </si>
  <si>
    <t>251</t>
  </si>
  <si>
    <t>SuperyachtTV.mc@SD</t>
  </si>
  <si>
    <t>Superyacht TV</t>
  </si>
  <si>
    <t>232</t>
  </si>
  <si>
    <t>201</t>
  </si>
  <si>
    <t>Trans 7</t>
  </si>
  <si>
    <t>210</t>
  </si>
  <si>
    <t>267</t>
  </si>
  <si>
    <t>TV5 Monde</t>
  </si>
  <si>
    <t>239</t>
  </si>
  <si>
    <t>187</t>
  </si>
  <si>
    <t>tvMU</t>
  </si>
  <si>
    <t>194</t>
  </si>
  <si>
    <t>tVN</t>
  </si>
  <si>
    <t>227</t>
  </si>
  <si>
    <t>363</t>
  </si>
  <si>
    <t>TVOne</t>
  </si>
  <si>
    <t>223</t>
  </si>
  <si>
    <t>283</t>
  </si>
  <si>
    <t>WION.in@SD</t>
  </si>
  <si>
    <t>Wion TV</t>
  </si>
  <si>
    <t>27</t>
  </si>
  <si>
    <t>Al Jazeera Arabic</t>
  </si>
  <si>
    <t>56</t>
  </si>
  <si>
    <t>AlJazeera.qa@English</t>
  </si>
  <si>
    <t>Al Jazeera English</t>
  </si>
  <si>
    <t>82</t>
  </si>
  <si>
    <t>Quran TV</t>
  </si>
  <si>
    <t>88</t>
  </si>
  <si>
    <t>AlSunnahAlNabawiyahTV.sa@SD</t>
  </si>
  <si>
    <t>Sunna TV</t>
  </si>
  <si>
    <t>131</t>
  </si>
  <si>
    <t>80</t>
  </si>
  <si>
    <t>85</t>
  </si>
  <si>
    <t>CCTV-4</t>
  </si>
  <si>
    <t>16</t>
  </si>
  <si>
    <t>137</t>
  </si>
  <si>
    <t>61</t>
  </si>
  <si>
    <t>23</t>
  </si>
  <si>
    <t>130</t>
  </si>
  <si>
    <t>DanceTelevision.nl@SD</t>
  </si>
  <si>
    <t>Dance TV</t>
  </si>
  <si>
    <t>117</t>
  </si>
  <si>
    <t>DensFood Channel</t>
  </si>
  <si>
    <t>1</t>
  </si>
  <si>
    <t>DensKnowledge.id@SD</t>
  </si>
  <si>
    <t>DensKnowledge</t>
  </si>
  <si>
    <t>42</t>
  </si>
  <si>
    <t>DensLifeStyle.id@SD</t>
  </si>
  <si>
    <t>DensLife&amp;Style</t>
  </si>
  <si>
    <t>107</t>
  </si>
  <si>
    <t>DensPlay</t>
  </si>
  <si>
    <t>102</t>
  </si>
  <si>
    <t>DensShowBiz</t>
  </si>
  <si>
    <t>132</t>
  </si>
  <si>
    <t>DIM.ua@SD</t>
  </si>
  <si>
    <t>DIM TV</t>
  </si>
  <si>
    <t>81</t>
  </si>
  <si>
    <t>DW-TV</t>
  </si>
  <si>
    <t>94</t>
  </si>
  <si>
    <t>ElshintaTV.id@SD</t>
  </si>
  <si>
    <t>Elshinta TV</t>
  </si>
  <si>
    <t>69</t>
  </si>
  <si>
    <t>104</t>
  </si>
  <si>
    <t>FREEDOM.ua@SD</t>
  </si>
  <si>
    <t>FREEDOM</t>
  </si>
  <si>
    <t>112</t>
  </si>
  <si>
    <t>Jak tv</t>
  </si>
  <si>
    <t>122</t>
  </si>
  <si>
    <t>MagnaChannel.id@SD</t>
  </si>
  <si>
    <t>Magna Channel</t>
  </si>
  <si>
    <t>13</t>
  </si>
  <si>
    <t>6</t>
  </si>
  <si>
    <t>98</t>
  </si>
  <si>
    <t>Motorvision.de@SD</t>
  </si>
  <si>
    <t>Motorvision+</t>
  </si>
  <si>
    <t>92</t>
  </si>
  <si>
    <t>MyCinemaEurope.ch@SD</t>
  </si>
  <si>
    <t>My Cinema Europe HD</t>
  </si>
  <si>
    <t>77</t>
  </si>
  <si>
    <t>NHK WORLD-JAPAN</t>
  </si>
  <si>
    <t>138</t>
  </si>
  <si>
    <t>Nusantara TV (NTV)</t>
  </si>
  <si>
    <t>143</t>
  </si>
  <si>
    <t>QwestTV.fr@SD</t>
  </si>
  <si>
    <t>Qwest TV</t>
  </si>
  <si>
    <t>22</t>
  </si>
  <si>
    <t>21</t>
  </si>
  <si>
    <t>RodjaTV</t>
  </si>
  <si>
    <t>144</t>
  </si>
  <si>
    <t>Russia Today (RT)</t>
  </si>
  <si>
    <t>128</t>
  </si>
  <si>
    <t>StingrayClassica.ca@SD</t>
  </si>
  <si>
    <t>Stingray Classica</t>
  </si>
  <si>
    <t>78</t>
  </si>
  <si>
    <t>TBN.ru@SD</t>
  </si>
  <si>
    <t>TBN</t>
  </si>
  <si>
    <t>41</t>
  </si>
  <si>
    <t>90</t>
  </si>
  <si>
    <t>TV5MONDE ASIE</t>
  </si>
  <si>
    <t>17</t>
  </si>
  <si>
    <t>118</t>
  </si>
  <si>
    <t>TVRISport.id@SD</t>
  </si>
  <si>
    <t>TVRI Sport</t>
  </si>
  <si>
    <t>79</t>
  </si>
  <si>
    <t>WION</t>
  </si>
  <si>
    <t>0_armtdhuu</t>
  </si>
  <si>
    <t>0_ss6ehuur</t>
  </si>
  <si>
    <t>0_oyquzepi</t>
  </si>
  <si>
    <t>0_3n2pn24p</t>
  </si>
  <si>
    <t>0_wd3w16vp</t>
  </si>
  <si>
    <t>0_3q4th1ok</t>
  </si>
  <si>
    <t>0_14pjqs63</t>
  </si>
  <si>
    <t>0_e2vtvhqt</t>
  </si>
  <si>
    <t>0_urq0w0mp</t>
  </si>
  <si>
    <t>0_gv023ysj</t>
  </si>
  <si>
    <t>0_xvxr7u43</t>
  </si>
  <si>
    <t>0_ypi11pce</t>
  </si>
  <si>
    <t>0_yvb8lpzs</t>
  </si>
  <si>
    <t>0_s7gzj2we</t>
  </si>
  <si>
    <t>0_xi5ysa4r</t>
  </si>
  <si>
    <t>0_af2rxjmy</t>
  </si>
  <si>
    <t>0_do3tuwa9</t>
  </si>
  <si>
    <t>0_cavdcfwq</t>
  </si>
  <si>
    <t>0_455xkjp3</t>
  </si>
  <si>
    <t>0_3karb7oy</t>
  </si>
  <si>
    <t>0_wfgm77pv</t>
  </si>
  <si>
    <t>0_nhmzmt8u</t>
  </si>
  <si>
    <t>0_efpv3846</t>
  </si>
  <si>
    <t>0_muy891nb</t>
  </si>
  <si>
    <t>0_h4cdmhi1</t>
  </si>
  <si>
    <t>0_3wiy77wh</t>
  </si>
  <si>
    <t>0_s5oc8paq</t>
  </si>
  <si>
    <t>0_urjthrku</t>
  </si>
  <si>
    <t>0_nt2t5yrg</t>
  </si>
  <si>
    <t>0_brgzui5c</t>
  </si>
  <si>
    <t>0_chy9zuqn</t>
  </si>
  <si>
    <t>0_gvz1a46f</t>
  </si>
  <si>
    <t>0_anqaquwl</t>
  </si>
  <si>
    <t>0_menqjsva</t>
  </si>
  <si>
    <t>0_p7vlqu2a</t>
  </si>
  <si>
    <t>0_uvp3wz05</t>
  </si>
  <si>
    <t>0_hd1c30bo</t>
  </si>
  <si>
    <t>0_zrs82szk</t>
  </si>
  <si>
    <t>0_zg4mwqv7</t>
  </si>
  <si>
    <t>0_rfc1zphz</t>
  </si>
  <si>
    <t>0_blvd5qf0</t>
  </si>
  <si>
    <t>0_fn0qos3d</t>
  </si>
  <si>
    <t>0_rkv5gee2</t>
  </si>
  <si>
    <t>0_lrp6fabo</t>
  </si>
  <si>
    <t>0_930nfsqj</t>
  </si>
  <si>
    <t>0_z7t4c568</t>
  </si>
  <si>
    <t>0_ynh2anw4</t>
  </si>
  <si>
    <t>0_psqdb637</t>
  </si>
  <si>
    <t>0_1u20u1ok</t>
  </si>
  <si>
    <t>0_720wy4x6</t>
  </si>
  <si>
    <t>0_ixad1kw8</t>
  </si>
  <si>
    <t>0_2jt2oz81</t>
  </si>
  <si>
    <t>0_3k1552mp</t>
  </si>
  <si>
    <t>0_0pf1skv6</t>
  </si>
  <si>
    <t>0_voqn75wc</t>
  </si>
  <si>
    <t>0_5zvla2hz</t>
  </si>
  <si>
    <t>0_qe3k01sq</t>
  </si>
  <si>
    <t>0_1qolvnju</t>
  </si>
  <si>
    <t>0_wz2sim1e</t>
  </si>
  <si>
    <t>0_2xlnqlst</t>
  </si>
  <si>
    <t>0_emchwlj8</t>
  </si>
  <si>
    <t>0_mgr46jjf</t>
  </si>
  <si>
    <t>0_2sdk0nou</t>
  </si>
  <si>
    <t>0_pz6xuyqn</t>
  </si>
  <si>
    <t>0_gtyd8oju</t>
  </si>
  <si>
    <t>0_40isuyzv</t>
  </si>
  <si>
    <t>0_e59etfmm</t>
  </si>
  <si>
    <t>0_nwsd3m5r</t>
  </si>
  <si>
    <t>0_1gshn4os</t>
  </si>
  <si>
    <t>0_a98kaoda</t>
  </si>
  <si>
    <t>0_9km1pl2v</t>
  </si>
  <si>
    <t>0_uxjvyh90</t>
  </si>
  <si>
    <t>0_nhoeiawb</t>
  </si>
  <si>
    <t>0_pfklvvig</t>
  </si>
  <si>
    <t>0_mubcipck</t>
  </si>
  <si>
    <t>0_e9m9jzif</t>
  </si>
  <si>
    <t>0_jhb1o6kj</t>
  </si>
  <si>
    <t>0_cms3x58k</t>
  </si>
  <si>
    <t>TheIndonesiaChannel.id@SD</t>
  </si>
  <si>
    <t>0_57ujtr57</t>
  </si>
  <si>
    <t>0_uakgnhip</t>
  </si>
  <si>
    <t>0_cbqtpojf</t>
  </si>
  <si>
    <t>0_kp6grg1f</t>
  </si>
  <si>
    <t>0_j93el3os</t>
  </si>
  <si>
    <t>0_6r3crrac</t>
  </si>
  <si>
    <t>0_vu7lebet</t>
  </si>
  <si>
    <t>0_iu9ah7cu</t>
  </si>
  <si>
    <t>0_7i9iue7v</t>
  </si>
  <si>
    <t>UChannel.id@SD</t>
  </si>
  <si>
    <t>0_r3bzcf53</t>
  </si>
  <si>
    <t>mncvision.id</t>
  </si>
  <si>
    <t>350</t>
  </si>
  <si>
    <t>331</t>
  </si>
  <si>
    <t>93</t>
  </si>
  <si>
    <t>157</t>
  </si>
  <si>
    <t>115</t>
  </si>
  <si>
    <t>351</t>
  </si>
  <si>
    <t>ArirangWorld.kr@SD</t>
  </si>
  <si>
    <t>154</t>
  </si>
  <si>
    <t>BBCEarth.uk@Asia</t>
  </si>
  <si>
    <t>BBC Earth</t>
  </si>
  <si>
    <t>461</t>
  </si>
  <si>
    <t>BBCEarth.uk@AsiaHD</t>
  </si>
  <si>
    <t>BBC Earth HD</t>
  </si>
  <si>
    <t>332</t>
  </si>
  <si>
    <t>BBC World News</t>
  </si>
  <si>
    <t>309</t>
  </si>
  <si>
    <t>beINSports1.qa@Indonesia</t>
  </si>
  <si>
    <t>beIN Sports 1</t>
  </si>
  <si>
    <t>310</t>
  </si>
  <si>
    <t>beINSports2.qa@MENA</t>
  </si>
  <si>
    <t>beIN Sports 2</t>
  </si>
  <si>
    <t>311</t>
  </si>
  <si>
    <t>beINSports3.qa@Indonesia</t>
  </si>
  <si>
    <t>beIN Sports 3</t>
  </si>
  <si>
    <t>312</t>
  </si>
  <si>
    <t>beINSports4.qa@MENA</t>
  </si>
  <si>
    <t>beIN SPORTS 4</t>
  </si>
  <si>
    <t>313</t>
  </si>
  <si>
    <t>beINSports5.qa@MENA</t>
  </si>
  <si>
    <t>beIN SPORTS 5</t>
  </si>
  <si>
    <t>338</t>
  </si>
  <si>
    <t>103</t>
  </si>
  <si>
    <t>96</t>
  </si>
  <si>
    <t>CelebritiesTV.id@SD</t>
  </si>
  <si>
    <t>Celebrities TV</t>
  </si>
  <si>
    <t>CelestialClassicMovies.id@SD</t>
  </si>
  <si>
    <t>CCM</t>
  </si>
  <si>
    <t>20</t>
  </si>
  <si>
    <t>353</t>
  </si>
  <si>
    <t>205</t>
  </si>
  <si>
    <t>401</t>
  </si>
  <si>
    <t>Cinemachi.uk@HD</t>
  </si>
  <si>
    <t>ORIGINALS HD</t>
  </si>
  <si>
    <t>7</t>
  </si>
  <si>
    <t>Cinemachi.uk@SD</t>
  </si>
  <si>
    <t>ORIGINALS</t>
  </si>
  <si>
    <t>402</t>
  </si>
  <si>
    <t>CinemachiAction.uk@HD</t>
  </si>
  <si>
    <t>CINEEDGE HD</t>
  </si>
  <si>
    <t>8</t>
  </si>
  <si>
    <t>CinemachiAction.uk@SD</t>
  </si>
  <si>
    <t>CINEEDGE</t>
  </si>
  <si>
    <t>403</t>
  </si>
  <si>
    <t>CinemachiKids.uk@HD</t>
  </si>
  <si>
    <t>BUDDY STARS HD</t>
  </si>
  <si>
    <t>9</t>
  </si>
  <si>
    <t>CinemachiKids.uk@SD</t>
  </si>
  <si>
    <t>BUDDY STARS</t>
  </si>
  <si>
    <t>404</t>
  </si>
  <si>
    <t>CinemachiMax.uk@HD</t>
  </si>
  <si>
    <t>Superrix HD</t>
  </si>
  <si>
    <t>10</t>
  </si>
  <si>
    <t>CinemachiMax.uk@SD</t>
  </si>
  <si>
    <t>Superrix</t>
  </si>
  <si>
    <t>405</t>
  </si>
  <si>
    <t>CinemachiXtra.uk@HD</t>
  </si>
  <si>
    <t>UNIQUES HD</t>
  </si>
  <si>
    <t>CinemachiXtra.uk@SD</t>
  </si>
  <si>
    <t>UNIQUES</t>
  </si>
  <si>
    <t>330</t>
  </si>
  <si>
    <t>Channel News Asia</t>
  </si>
  <si>
    <t>337</t>
  </si>
  <si>
    <t>CNBC</t>
  </si>
  <si>
    <t>207</t>
  </si>
  <si>
    <t>105</t>
  </si>
  <si>
    <t>Tawaf TV</t>
  </si>
  <si>
    <t>47</t>
  </si>
  <si>
    <t>357</t>
  </si>
  <si>
    <t>86</t>
  </si>
  <si>
    <t>Entertainment.id@SD</t>
  </si>
  <si>
    <t>333</t>
  </si>
  <si>
    <t>EURONEWS</t>
  </si>
  <si>
    <t>304</t>
  </si>
  <si>
    <t>335</t>
  </si>
  <si>
    <t>FoxNewsChannel.us@SD</t>
  </si>
  <si>
    <t>FOX News</t>
  </si>
  <si>
    <t>352</t>
  </si>
  <si>
    <t>France 24 English</t>
  </si>
  <si>
    <t>12</t>
  </si>
  <si>
    <t>GlobalTrekker.sg@SD</t>
  </si>
  <si>
    <t>Global Trekker</t>
  </si>
  <si>
    <t>206</t>
  </si>
  <si>
    <t>160</t>
  </si>
  <si>
    <t>409</t>
  </si>
  <si>
    <t>HITSMovies.sg@HD</t>
  </si>
  <si>
    <t>HITS MOVIES HD</t>
  </si>
  <si>
    <t>11</t>
  </si>
  <si>
    <t>100</t>
  </si>
  <si>
    <t>14</t>
  </si>
  <si>
    <t>83</t>
  </si>
  <si>
    <t>113</t>
  </si>
  <si>
    <t>JAKTV</t>
  </si>
  <si>
    <t>46</t>
  </si>
  <si>
    <t>KidsTV.id@SD</t>
  </si>
  <si>
    <t>Kids TV</t>
  </si>
  <si>
    <t>161</t>
  </si>
  <si>
    <t>106</t>
  </si>
  <si>
    <t>91</t>
  </si>
  <si>
    <t>Life.id@SD</t>
  </si>
  <si>
    <t>LIFE</t>
  </si>
  <si>
    <t>167</t>
  </si>
  <si>
    <t>463</t>
  </si>
  <si>
    <t>LoveNature.ca@HD</t>
  </si>
  <si>
    <t>Love Nature HD</t>
  </si>
  <si>
    <t>116</t>
  </si>
  <si>
    <t>MNCTV</t>
  </si>
  <si>
    <t>40</t>
  </si>
  <si>
    <t>111</t>
  </si>
  <si>
    <t>MusicTV.id@SD</t>
  </si>
  <si>
    <t>Music TV</t>
  </si>
  <si>
    <t>MuslimTV.id@SD</t>
  </si>
  <si>
    <t>Muslim TV</t>
  </si>
  <si>
    <t>355</t>
  </si>
  <si>
    <t>NHK World</t>
  </si>
  <si>
    <t>354</t>
  </si>
  <si>
    <t>49</t>
  </si>
  <si>
    <t>472</t>
  </si>
  <si>
    <t>NickJrAsia.sg@HD</t>
  </si>
  <si>
    <t>Nick Jr. HD</t>
  </si>
  <si>
    <t>37</t>
  </si>
  <si>
    <t>Nickelodeon Jr</t>
  </si>
  <si>
    <t>95</t>
  </si>
  <si>
    <t>OKTV.id@SD</t>
  </si>
  <si>
    <t>FOOD TRAVEL</t>
  </si>
  <si>
    <t>445</t>
  </si>
  <si>
    <t>ONE.sg@HD</t>
  </si>
  <si>
    <t>ONE HD</t>
  </si>
  <si>
    <t>164</t>
  </si>
  <si>
    <t>460</t>
  </si>
  <si>
    <t>OutdoorChannel.us@HD</t>
  </si>
  <si>
    <t>Outdoor channel HD</t>
  </si>
  <si>
    <t>202</t>
  </si>
  <si>
    <t>OutdoorChannel.us@SD</t>
  </si>
  <si>
    <t>Outdoor Channel</t>
  </si>
  <si>
    <t>248</t>
  </si>
  <si>
    <t>89</t>
  </si>
  <si>
    <t>336</t>
  </si>
  <si>
    <t>SEA TODAY</t>
  </si>
  <si>
    <t>84</t>
  </si>
  <si>
    <t>Sindo News TV</t>
  </si>
  <si>
    <t>101</t>
  </si>
  <si>
    <t>SoccerChannel.id@SD</t>
  </si>
  <si>
    <t>Soccer Channel</t>
  </si>
  <si>
    <t>Sportstars2.id@SD</t>
  </si>
  <si>
    <t>Sportstars 2</t>
  </si>
  <si>
    <t>99</t>
  </si>
  <si>
    <t>Sportstars3.id@SD</t>
  </si>
  <si>
    <t>Sportstars 3</t>
  </si>
  <si>
    <t>Sportstars4.id@SD</t>
  </si>
  <si>
    <t>Sportstars 4</t>
  </si>
  <si>
    <t>Sportstars.id@SD</t>
  </si>
  <si>
    <t>Sportstars</t>
  </si>
  <si>
    <t>308</t>
  </si>
  <si>
    <t>307</t>
  </si>
  <si>
    <t>26</t>
  </si>
  <si>
    <t>19</t>
  </si>
  <si>
    <t>110</t>
  </si>
  <si>
    <t>87</t>
  </si>
  <si>
    <t>446</t>
  </si>
  <si>
    <t>tvNAsia.hk@HD</t>
  </si>
  <si>
    <t>tvN HD</t>
  </si>
  <si>
    <t>158</t>
  </si>
  <si>
    <t>415</t>
  </si>
  <si>
    <t>tvNMoviesAsia.hk@HD</t>
  </si>
  <si>
    <t>tvN Movies HD</t>
  </si>
  <si>
    <t>25</t>
  </si>
  <si>
    <t>97</t>
  </si>
  <si>
    <t>tvOne</t>
  </si>
  <si>
    <t>VisionPrime.id@SD</t>
  </si>
  <si>
    <t>Vision Prime</t>
  </si>
  <si>
    <t>39</t>
  </si>
  <si>
    <t>ZooMoo.sg@SD</t>
  </si>
  <si>
    <t>Zoomoo</t>
  </si>
  <si>
    <t>561</t>
  </si>
  <si>
    <t>325</t>
  </si>
  <si>
    <t>150</t>
  </si>
  <si>
    <t>527</t>
  </si>
  <si>
    <t>674</t>
  </si>
  <si>
    <t>AstroCricket.my@SD</t>
  </si>
  <si>
    <t>Cricbuzz</t>
  </si>
  <si>
    <t>512</t>
  </si>
  <si>
    <t>AXNAsia.sg@HongKong</t>
  </si>
  <si>
    <t>502</t>
  </si>
  <si>
    <t>BBCLifestyle.uk@Asia</t>
  </si>
  <si>
    <t>BBC Lifestyle</t>
  </si>
  <si>
    <t>320</t>
  </si>
  <si>
    <t>638</t>
  </si>
  <si>
    <t>beINSports1.qa@HongKong</t>
  </si>
  <si>
    <t>beIN SPORTS 1</t>
  </si>
  <si>
    <t>639</t>
  </si>
  <si>
    <t>beINSports2.qa@HongKong</t>
  </si>
  <si>
    <t>beIN SPORTS 2</t>
  </si>
  <si>
    <t>646</t>
  </si>
  <si>
    <t>beINSports6.qa@MENA</t>
  </si>
  <si>
    <t>beIN SPORTS 6</t>
  </si>
  <si>
    <t>643</t>
  </si>
  <si>
    <t>beINSportsMax1.qa@MENA</t>
  </si>
  <si>
    <t>beIN SPORTS 3</t>
  </si>
  <si>
    <t>644</t>
  </si>
  <si>
    <t>beINSportsMax2.qa@MENA</t>
  </si>
  <si>
    <t>645</t>
  </si>
  <si>
    <t>beINSportsMax3.qa@MENA</t>
  </si>
  <si>
    <t>321</t>
  </si>
  <si>
    <t>Bloomberg Television</t>
  </si>
  <si>
    <t>443</t>
  </si>
  <si>
    <t>447</t>
  </si>
  <si>
    <t>541</t>
  </si>
  <si>
    <t>CCTV1.cn@SD</t>
  </si>
  <si>
    <t>CCTV-1</t>
  </si>
  <si>
    <t>542</t>
  </si>
  <si>
    <t>545</t>
  </si>
  <si>
    <t>CCTV13.cn@SD</t>
  </si>
  <si>
    <t>CCTV-13</t>
  </si>
  <si>
    <t>903</t>
  </si>
  <si>
    <t>ChannelAdult.hk@SD</t>
  </si>
  <si>
    <t>Channel Adult</t>
  </si>
  <si>
    <t>322</t>
  </si>
  <si>
    <t>319</t>
  </si>
  <si>
    <t>316</t>
  </si>
  <si>
    <t>780</t>
  </si>
  <si>
    <t>ColorsAsiaPacific.in@SD</t>
  </si>
  <si>
    <t>COLORS</t>
  </si>
  <si>
    <t>Crime + Investigation</t>
  </si>
  <si>
    <t>538</t>
  </si>
  <si>
    <t>CTiAsia.tw@SD</t>
  </si>
  <si>
    <t>CTI Asia Channel</t>
  </si>
  <si>
    <t>Da Vinci</t>
  </si>
  <si>
    <t>DiscoveryScienceSoutheastAsia.sg@SD</t>
  </si>
  <si>
    <t>Discovery Science</t>
  </si>
  <si>
    <t>DMAXSoutheastAsia.sg@SD</t>
  </si>
  <si>
    <t>DMAX</t>
  </si>
  <si>
    <t>551</t>
  </si>
  <si>
    <t>DragonTV.cn@SD</t>
  </si>
  <si>
    <t>Dragon TV</t>
  </si>
  <si>
    <t>324</t>
  </si>
  <si>
    <t>326</t>
  </si>
  <si>
    <t>526</t>
  </si>
  <si>
    <t>FoodNetworkAsia.sg@SD</t>
  </si>
  <si>
    <t>Food Network</t>
  </si>
  <si>
    <t>327</t>
  </si>
  <si>
    <t>715</t>
  </si>
  <si>
    <t>France24.fr@French</t>
  </si>
  <si>
    <t>France 24 (French)</t>
  </si>
  <si>
    <t>721</t>
  </si>
  <si>
    <t>GMALifeTV.ph@SD</t>
  </si>
  <si>
    <t>GMA Life TV</t>
  </si>
  <si>
    <t>722</t>
  </si>
  <si>
    <t>GMANewsTV.ph@SD</t>
  </si>
  <si>
    <t>GMA News TV</t>
  </si>
  <si>
    <t>720</t>
  </si>
  <si>
    <t>GMAPinoyTVAsiaPacific.ph@SD</t>
  </si>
  <si>
    <t>GMA Pinoy TV</t>
  </si>
  <si>
    <t>114</t>
  </si>
  <si>
    <t>HISTORY</t>
  </si>
  <si>
    <t>513</t>
  </si>
  <si>
    <t>119</t>
  </si>
  <si>
    <t>901</t>
  </si>
  <si>
    <t>IceFire.hk@SD</t>
  </si>
  <si>
    <t>Ice Fire</t>
  </si>
  <si>
    <t>156</t>
  </si>
  <si>
    <t>525</t>
  </si>
  <si>
    <t>LoveNature.ca@4K</t>
  </si>
  <si>
    <t>Love Nature 4K</t>
  </si>
  <si>
    <t>448</t>
  </si>
  <si>
    <t>MovieMovie.hk@SD</t>
  </si>
  <si>
    <t>MOVIE MOVIE</t>
  </si>
  <si>
    <t>779</t>
  </si>
  <si>
    <t>MTV.in@SD</t>
  </si>
  <si>
    <t>MTV India</t>
  </si>
  <si>
    <t>640</t>
  </si>
  <si>
    <t>MUTV.uk@SD</t>
  </si>
  <si>
    <t>MUTV</t>
  </si>
  <si>
    <t>642</t>
  </si>
  <si>
    <t>NBA TV</t>
  </si>
  <si>
    <t>328</t>
  </si>
  <si>
    <t>711</t>
  </si>
  <si>
    <t>444</t>
  </si>
  <si>
    <t>449</t>
  </si>
  <si>
    <t>Nick Jr.</t>
  </si>
  <si>
    <t>668</t>
  </si>
  <si>
    <t>now668.hk@SD</t>
  </si>
  <si>
    <t>Now668</t>
  </si>
  <si>
    <t>133</t>
  </si>
  <si>
    <t>nowBaoguMovies.hk@SD</t>
  </si>
  <si>
    <t>Now Baogu Movies</t>
  </si>
  <si>
    <t>nowBaoguSuperstars.hk@SD</t>
  </si>
  <si>
    <t>Now Baogu Superstars</t>
  </si>
  <si>
    <t>nowBusinessNewsChannel.hk@SD</t>
  </si>
  <si>
    <t>Now Business News Channel</t>
  </si>
  <si>
    <t>nowChineseDramaChannel.hk@SD</t>
  </si>
  <si>
    <t>Now Chinese Drama Channel</t>
  </si>
  <si>
    <t>nowData.hk@SD</t>
  </si>
  <si>
    <t>Now Data</t>
  </si>
  <si>
    <t>nowDirect.hk@SD</t>
  </si>
  <si>
    <t>Now Direct</t>
  </si>
  <si>
    <t>683</t>
  </si>
  <si>
    <t>nowGolf2.hk@SD</t>
  </si>
  <si>
    <t>Now Golf 2</t>
  </si>
  <si>
    <t>684</t>
  </si>
  <si>
    <t>nowGolf3.hk@SD</t>
  </si>
  <si>
    <t>Now Golf 3</t>
  </si>
  <si>
    <t>108</t>
  </si>
  <si>
    <t>nowJelli.hk@SD</t>
  </si>
  <si>
    <t>NowJelli</t>
  </si>
  <si>
    <t>nowNews.hk@SD</t>
  </si>
  <si>
    <t>Now NEWS</t>
  </si>
  <si>
    <t>631</t>
  </si>
  <si>
    <t>nowSports1.hk@SD</t>
  </si>
  <si>
    <t>Now Sports 1</t>
  </si>
  <si>
    <t>632</t>
  </si>
  <si>
    <t>nowSports2.hk@SD</t>
  </si>
  <si>
    <t>Now Sports 2</t>
  </si>
  <si>
    <t>633</t>
  </si>
  <si>
    <t>nowSports3.hk@SD</t>
  </si>
  <si>
    <t>Now Sports 3</t>
  </si>
  <si>
    <t>634</t>
  </si>
  <si>
    <t>nowSports4.hk@SD</t>
  </si>
  <si>
    <t>Now Sports 4</t>
  </si>
  <si>
    <t>611</t>
  </si>
  <si>
    <t>nowSports4K1.hk@SD</t>
  </si>
  <si>
    <t>Now Sports 4K 1</t>
  </si>
  <si>
    <t>612</t>
  </si>
  <si>
    <t>nowSports4K2.hk@SD</t>
  </si>
  <si>
    <t>Now Sports 4K 2</t>
  </si>
  <si>
    <t>616</t>
  </si>
  <si>
    <t>nowSports4K616.hk@SD</t>
  </si>
  <si>
    <t>Now Sports 4K 616</t>
  </si>
  <si>
    <t>617</t>
  </si>
  <si>
    <t>nowSports4K617.hk@SD</t>
  </si>
  <si>
    <t>Now Sports 4K 617</t>
  </si>
  <si>
    <t>635</t>
  </si>
  <si>
    <t>nowSports5.hk@SD</t>
  </si>
  <si>
    <t>Now Sports 5</t>
  </si>
  <si>
    <t>636</t>
  </si>
  <si>
    <t>nowSports6.hk@SD</t>
  </si>
  <si>
    <t>Now Sports 6</t>
  </si>
  <si>
    <t>637</t>
  </si>
  <si>
    <t>nowSports7.hk@SD</t>
  </si>
  <si>
    <t>Now Sports 7</t>
  </si>
  <si>
    <t>618</t>
  </si>
  <si>
    <t>nowSports618.hk@SD</t>
  </si>
  <si>
    <t>Now Sports 618</t>
  </si>
  <si>
    <t>619</t>
  </si>
  <si>
    <t>nowSports619.hk@SD</t>
  </si>
  <si>
    <t>Now Sports 619</t>
  </si>
  <si>
    <t>650</t>
  </si>
  <si>
    <t>nowSports650.hk@SD</t>
  </si>
  <si>
    <t>Now Sports 650</t>
  </si>
  <si>
    <t>680</t>
  </si>
  <si>
    <t>nowSportsPlus.hk@SD</t>
  </si>
  <si>
    <t>Now Sports Plus</t>
  </si>
  <si>
    <t>621</t>
  </si>
  <si>
    <t>nowSportsPremierLeague1.hk@SD</t>
  </si>
  <si>
    <t>Now Sports Premier League 1</t>
  </si>
  <si>
    <t>622</t>
  </si>
  <si>
    <t>nowSportsPremierLeague2.hk@SD</t>
  </si>
  <si>
    <t>Now Sports Premier League 2</t>
  </si>
  <si>
    <t>623</t>
  </si>
  <si>
    <t>nowSportsPremierLeague3.hk@SD</t>
  </si>
  <si>
    <t>Now Sports Premier League 3</t>
  </si>
  <si>
    <t>624</t>
  </si>
  <si>
    <t>nowSportsPremierLeague4.hk@SD</t>
  </si>
  <si>
    <t>Now Sports Premier League 4</t>
  </si>
  <si>
    <t>625</t>
  </si>
  <si>
    <t>nowSportsPremierLeague5.hk@SD</t>
  </si>
  <si>
    <t>Now Sports Premier League 5</t>
  </si>
  <si>
    <t>626</t>
  </si>
  <si>
    <t>nowSportsPremierLeague6.hk@SD</t>
  </si>
  <si>
    <t>Now Sports Premier League 6</t>
  </si>
  <si>
    <t>620</t>
  </si>
  <si>
    <t>nowSportsPremierLeagueTV.hk@SD</t>
  </si>
  <si>
    <t>Now Sports Premier League TV</t>
  </si>
  <si>
    <t>630</t>
  </si>
  <si>
    <t>nowSportsPrime.hk@SD</t>
  </si>
  <si>
    <t>Now Sports Prime</t>
  </si>
  <si>
    <t>nowVideoExpress.hk@SD</t>
  </si>
  <si>
    <t>Now Video Express</t>
  </si>
  <si>
    <t>OutdoorChannelInternational.us@SD</t>
  </si>
  <si>
    <t>548</t>
  </si>
  <si>
    <t>Phoenix Chinese Channel</t>
  </si>
  <si>
    <t>366</t>
  </si>
  <si>
    <t>Phoenix InfoNews Channel</t>
  </si>
  <si>
    <t>517</t>
  </si>
  <si>
    <t>ROCK Entertainment</t>
  </si>
  <si>
    <t>329</t>
  </si>
  <si>
    <t>RT</t>
  </si>
  <si>
    <t>679</t>
  </si>
  <si>
    <t>RugbyPassTV.uk@SD</t>
  </si>
  <si>
    <t>Premier Sports</t>
  </si>
  <si>
    <t>553</t>
  </si>
  <si>
    <t>SanshaTV.cn@SD</t>
  </si>
  <si>
    <t>Sansha TV</t>
  </si>
  <si>
    <t>540</t>
  </si>
  <si>
    <t>ShenzhenSatelliteTV.cn@SD</t>
  </si>
  <si>
    <t>323</t>
  </si>
  <si>
    <t>SkyNews.uk@SD</t>
  </si>
  <si>
    <t>Sky News</t>
  </si>
  <si>
    <t>771</t>
  </si>
  <si>
    <t>SonyEntertainmentTelevision.in@SD</t>
  </si>
  <si>
    <t>Sony TV (India)</t>
  </si>
  <si>
    <t>772</t>
  </si>
  <si>
    <t>SonyMax.in@SD</t>
  </si>
  <si>
    <t>Sony MAX</t>
  </si>
  <si>
    <t>774</t>
  </si>
  <si>
    <t>SonySABAsia.in@SD</t>
  </si>
  <si>
    <t>Sony SAB</t>
  </si>
  <si>
    <t>797</t>
  </si>
  <si>
    <t>StarBharat.in@SD</t>
  </si>
  <si>
    <t>Star Bharat</t>
  </si>
  <si>
    <t>793</t>
  </si>
  <si>
    <t>StarGold.in@SD</t>
  </si>
  <si>
    <t>Star Gold</t>
  </si>
  <si>
    <t>794</t>
  </si>
  <si>
    <t>StarPlus.in@SD</t>
  </si>
  <si>
    <t>STAR PLUS</t>
  </si>
  <si>
    <t>725</t>
  </si>
  <si>
    <t>TheFilipinoChannelAsia.us@SD</t>
  </si>
  <si>
    <t>TFC</t>
  </si>
  <si>
    <t>714</t>
  </si>
  <si>
    <t>713</t>
  </si>
  <si>
    <t>TV5MondeStyle.fr@SD</t>
  </si>
  <si>
    <t>TV5MONDE Style</t>
  </si>
  <si>
    <t>155</t>
  </si>
  <si>
    <t>543</t>
  </si>
  <si>
    <t>TVS2SouthernTV.cn@SD</t>
  </si>
  <si>
    <t>GBA Satellite TV</t>
  </si>
  <si>
    <t>ViuChannel.hk@SD</t>
  </si>
  <si>
    <t>Viu channel</t>
  </si>
  <si>
    <t>099</t>
  </si>
  <si>
    <t>ViuTV.hk@SD</t>
  </si>
  <si>
    <t>ViuTV</t>
  </si>
  <si>
    <t>096</t>
  </si>
  <si>
    <t>ViuTVsix.hk@SD</t>
  </si>
  <si>
    <t>ViuTVsix</t>
  </si>
  <si>
    <t>781</t>
  </si>
  <si>
    <t>ZeeCinema.in@APAC</t>
  </si>
  <si>
    <t>Zee Cinema International</t>
  </si>
  <si>
    <t>785</t>
  </si>
  <si>
    <t>ZeeNews.in@SD</t>
  </si>
  <si>
    <t>Zee News</t>
  </si>
  <si>
    <t>782</t>
  </si>
  <si>
    <t>ZeeTVAsiaPacific.sg@SD</t>
  </si>
  <si>
    <t>Zee TV</t>
  </si>
  <si>
    <t>beinsports1</t>
  </si>
  <si>
    <t>beinsports2</t>
  </si>
  <si>
    <t>beinsports3</t>
  </si>
  <si>
    <t>ccm</t>
  </si>
  <si>
    <t>CNN</t>
  </si>
  <si>
    <t>HITS Movies</t>
  </si>
  <si>
    <t>K-Plus</t>
  </si>
  <si>
    <t>Sindonews TV</t>
  </si>
  <si>
    <t>Sin Po TV</t>
  </si>
  <si>
    <t>SpoTV2</t>
  </si>
  <si>
    <t>SpoTV</t>
  </si>
  <si>
    <t>TvOne</t>
  </si>
  <si>
    <t>vtv</t>
  </si>
  <si>
    <t>VTV.id@SD</t>
  </si>
  <si>
    <t>VTV</t>
  </si>
  <si>
    <t>Warner TV</t>
  </si>
  <si>
    <t>7150</t>
  </si>
  <si>
    <t>12784</t>
  </si>
  <si>
    <t>AfricanewsEnglish.fr@SD</t>
  </si>
  <si>
    <t>Africanews</t>
  </si>
  <si>
    <t>7464</t>
  </si>
  <si>
    <t>AjwaTV.id@SD</t>
  </si>
  <si>
    <t>AJWA TV</t>
  </si>
  <si>
    <t>6410</t>
  </si>
  <si>
    <t>6784</t>
  </si>
  <si>
    <t>6299</t>
  </si>
  <si>
    <t>Bein 1</t>
  </si>
  <si>
    <t>17875</t>
  </si>
  <si>
    <t>Bein 2</t>
  </si>
  <si>
    <t>6317</t>
  </si>
  <si>
    <t>Bein 3</t>
  </si>
  <si>
    <t>18280</t>
  </si>
  <si>
    <t>6165</t>
  </si>
  <si>
    <t>20216</t>
  </si>
  <si>
    <t>ChampionsFight.id@HD</t>
  </si>
  <si>
    <t>Champions Fight</t>
  </si>
  <si>
    <t>18189</t>
  </si>
  <si>
    <t>18190</t>
  </si>
  <si>
    <t>6685</t>
  </si>
  <si>
    <t>Champions TV 1</t>
  </si>
  <si>
    <t>6686</t>
  </si>
  <si>
    <t>Champions TV 2</t>
  </si>
  <si>
    <t>6786</t>
  </si>
  <si>
    <t>ChampionsTV3.id@SD</t>
  </si>
  <si>
    <t>Champions TV 3</t>
  </si>
  <si>
    <t>9182</t>
  </si>
  <si>
    <t>Champions TV 5</t>
  </si>
  <si>
    <t>9183</t>
  </si>
  <si>
    <t>Champions TV 6</t>
  </si>
  <si>
    <t>9353</t>
  </si>
  <si>
    <t>ChampionsTVEPL.id@SD</t>
  </si>
  <si>
    <t>Premier League TV</t>
  </si>
  <si>
    <t>21179</t>
  </si>
  <si>
    <t>6411</t>
  </si>
  <si>
    <t>6482</t>
  </si>
  <si>
    <t>18622</t>
  </si>
  <si>
    <t>Daystar TV</t>
  </si>
  <si>
    <t>12607</t>
  </si>
  <si>
    <t>5075</t>
  </si>
  <si>
    <t>10975</t>
  </si>
  <si>
    <t>6412</t>
  </si>
  <si>
    <t>18162</t>
  </si>
  <si>
    <t>778</t>
  </si>
  <si>
    <t>7052</t>
  </si>
  <si>
    <t>HipHipHoree.id@SD</t>
  </si>
  <si>
    <t>Hip Hip Horee!</t>
  </si>
  <si>
    <t>6397</t>
  </si>
  <si>
    <t>5409</t>
  </si>
  <si>
    <t>5415</t>
  </si>
  <si>
    <t>Jaktv</t>
  </si>
  <si>
    <t>9714</t>
  </si>
  <si>
    <t>jawaposTV</t>
  </si>
  <si>
    <t>9713</t>
  </si>
  <si>
    <t>874</t>
  </si>
  <si>
    <t>7230</t>
  </si>
  <si>
    <t>Magna TV</t>
  </si>
  <si>
    <t>6852</t>
  </si>
  <si>
    <t>MakkahTV.sa@SD</t>
  </si>
  <si>
    <t>Makkah TV</t>
  </si>
  <si>
    <t>875</t>
  </si>
  <si>
    <t>8237</t>
  </si>
  <si>
    <t>777</t>
  </si>
  <si>
    <t>870</t>
  </si>
  <si>
    <t>7968</t>
  </si>
  <si>
    <t>7432</t>
  </si>
  <si>
    <t>1561</t>
  </si>
  <si>
    <t>665</t>
  </si>
  <si>
    <t>19538</t>
  </si>
  <si>
    <t>RealMadridTVEnglish.es@SD</t>
  </si>
  <si>
    <t>Real Madrid TV</t>
  </si>
  <si>
    <t>8121</t>
  </si>
  <si>
    <t>19046</t>
  </si>
  <si>
    <t>17140</t>
  </si>
  <si>
    <t>17139</t>
  </si>
  <si>
    <t>734</t>
  </si>
  <si>
    <t>733</t>
  </si>
  <si>
    <t>TRANS TV</t>
  </si>
  <si>
    <t>17278</t>
  </si>
  <si>
    <t>6362</t>
  </si>
  <si>
    <t>783</t>
  </si>
  <si>
    <t>6441</t>
  </si>
  <si>
    <t>TVRI.id@HD</t>
  </si>
  <si>
    <t>6898</t>
  </si>
  <si>
    <t>U-Channel TV</t>
  </si>
  <si>
    <t>00000000000000000165</t>
  </si>
  <si>
    <t>ABC</t>
  </si>
  <si>
    <t>00000000000000000149</t>
  </si>
  <si>
    <t>00000000000000000153</t>
  </si>
  <si>
    <t>00000000000000000157</t>
  </si>
  <si>
    <t>AnhuiTV.cn@SD</t>
  </si>
  <si>
    <t>Anhui</t>
  </si>
  <si>
    <t>00000000000000000065</t>
  </si>
  <si>
    <t>00000000000000000010</t>
  </si>
  <si>
    <t>00000000000000000164</t>
  </si>
  <si>
    <t>00000000000000000079</t>
  </si>
  <si>
    <t>00000000000000000026</t>
  </si>
  <si>
    <t>00000000000000000027</t>
  </si>
  <si>
    <t>BandungTV.id@SD</t>
  </si>
  <si>
    <t>Bandung TV</t>
  </si>
  <si>
    <t>00000000000000000102</t>
  </si>
  <si>
    <t>00000000000000000130</t>
  </si>
  <si>
    <t>BBC World news</t>
  </si>
  <si>
    <t>00000000000000000122</t>
  </si>
  <si>
    <t>beIN SPORTS</t>
  </si>
  <si>
    <t>00000000000000000123</t>
  </si>
  <si>
    <t>00000000000000000124</t>
  </si>
  <si>
    <t>00000000000000000125</t>
  </si>
  <si>
    <t>00000000000000000126</t>
  </si>
  <si>
    <t>00000000000000000133</t>
  </si>
  <si>
    <t>00000000000000000015</t>
  </si>
  <si>
    <t>00000000000000000058</t>
  </si>
  <si>
    <t>Cbeebies</t>
  </si>
  <si>
    <t>00000000000000000088</t>
  </si>
  <si>
    <t>00000000000000000045</t>
  </si>
  <si>
    <t>00000000000000000044</t>
  </si>
  <si>
    <t>00000000000000000156</t>
  </si>
  <si>
    <t>00000000000000000155</t>
  </si>
  <si>
    <t>00000000000000000036</t>
  </si>
  <si>
    <t>Originals</t>
  </si>
  <si>
    <t>00000000000000000040</t>
  </si>
  <si>
    <t>Cineedge</t>
  </si>
  <si>
    <t>00000000000000000037</t>
  </si>
  <si>
    <t>Buddy Star</t>
  </si>
  <si>
    <t>00000000000000000039</t>
  </si>
  <si>
    <t>00000000000000000038</t>
  </si>
  <si>
    <t>Uniques</t>
  </si>
  <si>
    <t>00000000000000000152</t>
  </si>
  <si>
    <t>00000000000000000131</t>
  </si>
  <si>
    <t>00000000000000000095</t>
  </si>
  <si>
    <t>00000000000000000018</t>
  </si>
  <si>
    <t>00000000000000000251</t>
  </si>
  <si>
    <t>00000000000000000252</t>
  </si>
  <si>
    <t>DENSPLAY Channel</t>
  </si>
  <si>
    <t>00000000000000000253</t>
  </si>
  <si>
    <t>DENS Showbizz Channel</t>
  </si>
  <si>
    <t>00000000000000000029</t>
  </si>
  <si>
    <t>00000000000000000159</t>
  </si>
  <si>
    <t>Shanghai Dragon</t>
  </si>
  <si>
    <t>00000000000000000067</t>
  </si>
  <si>
    <t>Dream Works</t>
  </si>
  <si>
    <t>00000000000000000146</t>
  </si>
  <si>
    <t>DW</t>
  </si>
  <si>
    <t>00000000000000000072</t>
  </si>
  <si>
    <t>00000000000000000151</t>
  </si>
  <si>
    <t>00000000000000000154</t>
  </si>
  <si>
    <t>EWTN.us@AsiaPacific</t>
  </si>
  <si>
    <t>EWTN</t>
  </si>
  <si>
    <t>00000000000000000121</t>
  </si>
  <si>
    <t>00000000000000000132</t>
  </si>
  <si>
    <t>00000000000000000147</t>
  </si>
  <si>
    <t>00000000000000000069</t>
  </si>
  <si>
    <t>FTV.tw@SD</t>
  </si>
  <si>
    <t>Formosa</t>
  </si>
  <si>
    <t>00000000000000000049</t>
  </si>
  <si>
    <t>GALAXY</t>
  </si>
  <si>
    <t>00000000000000000048</t>
  </si>
  <si>
    <t>GALAXY PREMIUM</t>
  </si>
  <si>
    <t>00000000000000000103</t>
  </si>
  <si>
    <t>00000000000000000003</t>
  </si>
  <si>
    <t>00000000000000000104</t>
  </si>
  <si>
    <t>00000000000000000077</t>
  </si>
  <si>
    <t>00000000000000000042</t>
  </si>
  <si>
    <t>Hits Movies</t>
  </si>
  <si>
    <t>00000000000000000068</t>
  </si>
  <si>
    <t>00000000000000000160</t>
  </si>
  <si>
    <t>HunanTV.cn@SD</t>
  </si>
  <si>
    <t>Hunan TV</t>
  </si>
  <si>
    <t>00000000000000000134</t>
  </si>
  <si>
    <t>00000000000000000050</t>
  </si>
  <si>
    <t>IMC (Indonesia Movie Channel)</t>
  </si>
  <si>
    <t>00000000000000000009</t>
  </si>
  <si>
    <t>00000000000000000004</t>
  </si>
  <si>
    <t>00000000000000000025</t>
  </si>
  <si>
    <t>00000000000000000161</t>
  </si>
  <si>
    <t>JiangsuTV.cn@SD</t>
  </si>
  <si>
    <t>Jiangsu TV</t>
  </si>
  <si>
    <t>00000000000000000024</t>
  </si>
  <si>
    <t>00000000000000000056</t>
  </si>
  <si>
    <t>00000000000000000075</t>
  </si>
  <si>
    <t>00000000000000000013</t>
  </si>
  <si>
    <t>00000000000000000138</t>
  </si>
  <si>
    <t>00000000000000000080</t>
  </si>
  <si>
    <t>00000000000000000105</t>
  </si>
  <si>
    <t>00000000000000000023</t>
  </si>
  <si>
    <t>00000000000000000020</t>
  </si>
  <si>
    <t>00000000000000000014</t>
  </si>
  <si>
    <t>00000000000000000002</t>
  </si>
  <si>
    <t>00000000000000000019</t>
  </si>
  <si>
    <t>00000000000000000057</t>
  </si>
  <si>
    <t>00000000000000000142</t>
  </si>
  <si>
    <t>00000000000000000137</t>
  </si>
  <si>
    <t>00000000000000000162</t>
  </si>
  <si>
    <t>NHK</t>
  </si>
  <si>
    <t>00000000000000000076</t>
  </si>
  <si>
    <t>00000000000000000064</t>
  </si>
  <si>
    <t>Nick</t>
  </si>
  <si>
    <t>00000000000000000060</t>
  </si>
  <si>
    <t>Nick Jr</t>
  </si>
  <si>
    <t>00000000000000000071</t>
  </si>
  <si>
    <t>Food Travel</t>
  </si>
  <si>
    <t>00000000000000000074</t>
  </si>
  <si>
    <t>One</t>
  </si>
  <si>
    <t>00000000000000000101</t>
  </si>
  <si>
    <t>00000000000000000011</t>
  </si>
  <si>
    <t>00000000000000000001</t>
  </si>
  <si>
    <t>00000000000000000139</t>
  </si>
  <si>
    <t>Reformed21.id@SD</t>
  </si>
  <si>
    <t>Reformed 21</t>
  </si>
  <si>
    <t>00000000000000000093</t>
  </si>
  <si>
    <t>00000000000000000092</t>
  </si>
  <si>
    <t>00000000000000000150</t>
  </si>
  <si>
    <t>00000000000000000008</t>
  </si>
  <si>
    <t>00000000000000000070</t>
  </si>
  <si>
    <t>SETTaiwan.tw@SD</t>
  </si>
  <si>
    <t>Sanlih</t>
  </si>
  <si>
    <t>00000000000000000005</t>
  </si>
  <si>
    <t>SindoNews</t>
  </si>
  <si>
    <t>00000000000000000115</t>
  </si>
  <si>
    <t>00000000000000000113</t>
  </si>
  <si>
    <t>00000000000000000205</t>
  </si>
  <si>
    <t>00000000000000000112</t>
  </si>
  <si>
    <t>00000000000000000120</t>
  </si>
  <si>
    <t>SpoTV 2</t>
  </si>
  <si>
    <t>00000000000000000119</t>
  </si>
  <si>
    <t>SpoTV 1</t>
  </si>
  <si>
    <t>00000000000000000054</t>
  </si>
  <si>
    <t>00000000000000000041</t>
  </si>
  <si>
    <t>00000000000000000007</t>
  </si>
  <si>
    <t>00000000000000000006</t>
  </si>
  <si>
    <t>00000000000000000148</t>
  </si>
  <si>
    <t>00000000000000000163</t>
  </si>
  <si>
    <t>00000000000000000028</t>
  </si>
  <si>
    <t>TV 9</t>
  </si>
  <si>
    <t>00000000000000000030</t>
  </si>
  <si>
    <t>00000000000000000073</t>
  </si>
  <si>
    <t>00000000000000000046</t>
  </si>
  <si>
    <t>00000000000000000012</t>
  </si>
  <si>
    <t>00000000000000000016</t>
  </si>
  <si>
    <t>00000000000000000087</t>
  </si>
  <si>
    <t>00000000000000000158</t>
  </si>
  <si>
    <t>XingKongChina.cn@SD</t>
  </si>
  <si>
    <t>Xing kong TV</t>
  </si>
  <si>
    <t>00000000000000000047</t>
  </si>
  <si>
    <t>00000000000000000063</t>
  </si>
  <si>
    <t>Zoo Moo</t>
  </si>
  <si>
    <t>COLLECTION</t>
  </si>
  <si>
    <t>indihometv1</t>
  </si>
  <si>
    <t>indihometv2</t>
  </si>
  <si>
    <t>singtel.com</t>
  </si>
  <si>
    <t>5251</t>
  </si>
  <si>
    <t>5628</t>
  </si>
  <si>
    <t>AdithyaTV.in@SD</t>
  </si>
  <si>
    <t>Adithya TV</t>
  </si>
  <si>
    <t>6694</t>
  </si>
  <si>
    <t>ANCGlobal.ph@SD</t>
  </si>
  <si>
    <t>ABS-CBN News Channel</t>
  </si>
  <si>
    <t>5208</t>
  </si>
  <si>
    <t>Animal Planet (HD)</t>
  </si>
  <si>
    <t>5342</t>
  </si>
  <si>
    <t>Animax (HD)</t>
  </si>
  <si>
    <t>5340</t>
  </si>
  <si>
    <t>ANIPLUS HD</t>
  </si>
  <si>
    <t>5258</t>
  </si>
  <si>
    <t>Arirang TV (HD)</t>
  </si>
  <si>
    <t>5638</t>
  </si>
  <si>
    <t>Asianet.in@SD</t>
  </si>
  <si>
    <t>Asianet</t>
  </si>
  <si>
    <t>5639</t>
  </si>
  <si>
    <t>AsianetMovies.in@SD</t>
  </si>
  <si>
    <t>Asianet Movies</t>
  </si>
  <si>
    <t>5256</t>
  </si>
  <si>
    <t>AFN (HD)</t>
  </si>
  <si>
    <t>5602</t>
  </si>
  <si>
    <t>AstroPrima.my@SD</t>
  </si>
  <si>
    <t>Astro Prima HD</t>
  </si>
  <si>
    <t>5608</t>
  </si>
  <si>
    <t>AstroRia.my@SD</t>
  </si>
  <si>
    <t>Astro Ria HD</t>
  </si>
  <si>
    <t>5648</t>
  </si>
  <si>
    <t>ATNSABTV.ca@SD</t>
  </si>
  <si>
    <t>SAB TV</t>
  </si>
  <si>
    <t>5304</t>
  </si>
  <si>
    <t>AXNAsia.sg@Singapore</t>
  </si>
  <si>
    <t>AXN (HD)</t>
  </si>
  <si>
    <t>6203</t>
  </si>
  <si>
    <t>BBC Earth (HD)</t>
  </si>
  <si>
    <t>6255</t>
  </si>
  <si>
    <t>BBC Lifestyle (HD)</t>
  </si>
  <si>
    <t>6166</t>
  </si>
  <si>
    <t>6127</t>
  </si>
  <si>
    <t>beIN SPORTS 2 (HD)</t>
  </si>
  <si>
    <t>6110</t>
  </si>
  <si>
    <t>beINSports3.qa@MENA</t>
  </si>
  <si>
    <t>beIN SPORTS 3 (HD)</t>
  </si>
  <si>
    <t>6126</t>
  </si>
  <si>
    <t>beINSports.qa@MENA</t>
  </si>
  <si>
    <t>beIN SPORTS 1 (HD)</t>
  </si>
  <si>
    <t>5172</t>
  </si>
  <si>
    <t>BloombergOriginals.us@SD</t>
  </si>
  <si>
    <t>Bloomberg Originals</t>
  </si>
  <si>
    <t>5171</t>
  </si>
  <si>
    <t>Bloomberg Television (HD)</t>
  </si>
  <si>
    <t>5537</t>
  </si>
  <si>
    <t>BRTVInternationalChannel.cn@SD</t>
  </si>
  <si>
    <t>BRTV International</t>
  </si>
  <si>
    <t>5226</t>
  </si>
  <si>
    <t>Cartoon Network (HD)</t>
  </si>
  <si>
    <t>6236</t>
  </si>
  <si>
    <t>CBeebies (HD)</t>
  </si>
  <si>
    <t>5580</t>
  </si>
  <si>
    <t>CCM.hk@SD</t>
  </si>
  <si>
    <t>5555</t>
  </si>
  <si>
    <t>CCTV-4 (HD)</t>
  </si>
  <si>
    <t>5534</t>
  </si>
  <si>
    <t>CCTVEntertainment.cn@SD</t>
  </si>
  <si>
    <t>CCTV Entertainment</t>
  </si>
  <si>
    <t>5585</t>
  </si>
  <si>
    <t>CelestialMovies.hk@SD</t>
  </si>
  <si>
    <t>Celestial Movies (HD)</t>
  </si>
  <si>
    <t>5155</t>
  </si>
  <si>
    <t>5211</t>
  </si>
  <si>
    <t>CGTN-Documentary</t>
  </si>
  <si>
    <t>5002</t>
  </si>
  <si>
    <t>Channel5.sg@SD</t>
  </si>
  <si>
    <t>Ch 5 (HD)</t>
  </si>
  <si>
    <t>5003</t>
  </si>
  <si>
    <t>Channel8.sg@SD</t>
  </si>
  <si>
    <t>Ch 8 (HD)</t>
  </si>
  <si>
    <t>5007</t>
  </si>
  <si>
    <t>ChannelU.sg@SD</t>
  </si>
  <si>
    <t>Ch U (HD)</t>
  </si>
  <si>
    <t>5538</t>
  </si>
  <si>
    <t>ChinaMovieChannel.cn@SD</t>
  </si>
  <si>
    <t>China Movie Channel</t>
  </si>
  <si>
    <t>6692</t>
  </si>
  <si>
    <t>CinemaOneGlobal.ph@SD</t>
  </si>
  <si>
    <t>Cinema One Global</t>
  </si>
  <si>
    <t>6424</t>
  </si>
  <si>
    <t>CINEMAX (HD)</t>
  </si>
  <si>
    <t>5610</t>
  </si>
  <si>
    <t>Citra Drama (HD)</t>
  </si>
  <si>
    <t>5006</t>
  </si>
  <si>
    <t>CNA (HD)</t>
  </si>
  <si>
    <t>5173</t>
  </si>
  <si>
    <t>CNBC Asia HD</t>
  </si>
  <si>
    <t>5167</t>
  </si>
  <si>
    <t>CNN International (HD)</t>
  </si>
  <si>
    <t>5652</t>
  </si>
  <si>
    <t>Colors.in@SD</t>
  </si>
  <si>
    <t>Colors</t>
  </si>
  <si>
    <t>5623</t>
  </si>
  <si>
    <t>ColorsTamil.in@SD</t>
  </si>
  <si>
    <t>Colors Tamil HD</t>
  </si>
  <si>
    <t>5206</t>
  </si>
  <si>
    <t>Crime + Investigation™ (HD)</t>
  </si>
  <si>
    <t>5557</t>
  </si>
  <si>
    <t>CTiTV.tw@SD</t>
  </si>
  <si>
    <t>CTI Asia (HD)</t>
  </si>
  <si>
    <t>5202</t>
  </si>
  <si>
    <t>Discovery Channel (HD)</t>
  </si>
  <si>
    <t>5535</t>
  </si>
  <si>
    <t>DragonTVInternational.cn@SD</t>
  </si>
  <si>
    <t>Dragon TV Intl</t>
  </si>
  <si>
    <t>5161</t>
  </si>
  <si>
    <t>Deutsche Welle (English)</t>
  </si>
  <si>
    <t>5521</t>
  </si>
  <si>
    <t>EBCNewsAsia.tw@SD</t>
  </si>
  <si>
    <t>ETTV Asia (HD)</t>
  </si>
  <si>
    <t>5561</t>
  </si>
  <si>
    <t>ETTVAsiaNews.tw@SD</t>
  </si>
  <si>
    <t>ETTV Asia News (HD)</t>
  </si>
  <si>
    <t>6119</t>
  </si>
  <si>
    <t>Fight Sports (HD)</t>
  </si>
  <si>
    <t>5165</t>
  </si>
  <si>
    <t>FOX News Channel</t>
  </si>
  <si>
    <t>5041</t>
  </si>
  <si>
    <t>France 24 (English)</t>
  </si>
  <si>
    <t>5040</t>
  </si>
  <si>
    <t>5212</t>
  </si>
  <si>
    <t>Global Trekker (HD)</t>
  </si>
  <si>
    <t>5689</t>
  </si>
  <si>
    <t>5690</t>
  </si>
  <si>
    <t>5056</t>
  </si>
  <si>
    <t>GMAPinoyTV.ph@SD</t>
  </si>
  <si>
    <t>6420</t>
  </si>
  <si>
    <t>HBO HD</t>
  </si>
  <si>
    <t>6422</t>
  </si>
  <si>
    <t>HBO Family (HD)</t>
  </si>
  <si>
    <t>6423</t>
  </si>
  <si>
    <t>HBO Hits (HD)</t>
  </si>
  <si>
    <t>6421</t>
  </si>
  <si>
    <t>HBO Signature (HD)</t>
  </si>
  <si>
    <t>5250</t>
  </si>
  <si>
    <t>HGTV (HD)</t>
  </si>
  <si>
    <t>5209</t>
  </si>
  <si>
    <t>HISTORY™ (HD)</t>
  </si>
  <si>
    <t>5326</t>
  </si>
  <si>
    <t>HITS (HD)</t>
  </si>
  <si>
    <t>6301</t>
  </si>
  <si>
    <t>HITS Movies HD</t>
  </si>
  <si>
    <t>5303</t>
  </si>
  <si>
    <t>HITS NOW (HD)</t>
  </si>
  <si>
    <t>4102</t>
  </si>
  <si>
    <t>HubPremier1.sg@SD</t>
  </si>
  <si>
    <t>Hub Premier 1</t>
  </si>
  <si>
    <t>4103</t>
  </si>
  <si>
    <t>HubPremier2.sg@SD</t>
  </si>
  <si>
    <t>Hub Premier 2</t>
  </si>
  <si>
    <t>4104</t>
  </si>
  <si>
    <t>HubPremier3.sg@SD</t>
  </si>
  <si>
    <t>Hub Premier 3</t>
  </si>
  <si>
    <t>4105</t>
  </si>
  <si>
    <t>HubPremier4.sg@SD</t>
  </si>
  <si>
    <t>Hub Premier 4</t>
  </si>
  <si>
    <t>4106</t>
  </si>
  <si>
    <t>HubPremier5.sg@SD</t>
  </si>
  <si>
    <t>Hub Premier 5</t>
  </si>
  <si>
    <t>4107</t>
  </si>
  <si>
    <t>HubPremier6.sg@SD</t>
  </si>
  <si>
    <t>Hub Premier 6</t>
  </si>
  <si>
    <t>5536</t>
  </si>
  <si>
    <t>HunanTVInternational.cn@SD</t>
  </si>
  <si>
    <t>Hunan International</t>
  </si>
  <si>
    <t>5511</t>
  </si>
  <si>
    <t>Jade.hk@SD</t>
  </si>
  <si>
    <t>TVB Jade (HD)</t>
  </si>
  <si>
    <t>5038</t>
  </si>
  <si>
    <t>KBS World (HD)</t>
  </si>
  <si>
    <t>5625</t>
  </si>
  <si>
    <t>KTV.in@SD</t>
  </si>
  <si>
    <t>KTV HD</t>
  </si>
  <si>
    <t>5302</t>
  </si>
  <si>
    <t>Lifetime (HD)</t>
  </si>
  <si>
    <t>5215</t>
  </si>
  <si>
    <t>Love Nature (HD)</t>
  </si>
  <si>
    <t>5658</t>
  </si>
  <si>
    <t>MTVAsia.sg@SD</t>
  </si>
  <si>
    <t>5157</t>
  </si>
  <si>
    <t>NHK World – Japan (HD)</t>
  </si>
  <si>
    <t>5682</t>
  </si>
  <si>
    <t>5240</t>
  </si>
  <si>
    <t>Nickelodeon Asia HD</t>
  </si>
  <si>
    <t>5238</t>
  </si>
  <si>
    <t>5512</t>
  </si>
  <si>
    <t>now Jelli (HD)</t>
  </si>
  <si>
    <t>5604</t>
  </si>
  <si>
    <t>ONE HD (Malay)</t>
  </si>
  <si>
    <t>5119</t>
  </si>
  <si>
    <t>(HD) Outdoor Channel</t>
  </si>
  <si>
    <t>5607</t>
  </si>
  <si>
    <t>Pesona.my@SD</t>
  </si>
  <si>
    <t>Pesona HD</t>
  </si>
  <si>
    <t>6547</t>
  </si>
  <si>
    <t>5118</t>
  </si>
  <si>
    <t>PremierSports1Asia.ie@SD</t>
  </si>
  <si>
    <t>5310</t>
  </si>
  <si>
    <t>ROCK Action (HD)</t>
  </si>
  <si>
    <t>5318</t>
  </si>
  <si>
    <t>ROCK Entertainment (HD)</t>
  </si>
  <si>
    <t>5045</t>
  </si>
  <si>
    <t>5151</t>
  </si>
  <si>
    <t>SkyNewsInternational.uk@SD</t>
  </si>
  <si>
    <t>Sky News HD</t>
  </si>
  <si>
    <t>5644</t>
  </si>
  <si>
    <t>SET (HINDI)</t>
  </si>
  <si>
    <t>5668</t>
  </si>
  <si>
    <t>SonyMaxSingapore.sg@SD</t>
  </si>
  <si>
    <t>SONY MAX</t>
  </si>
  <si>
    <t>5630</t>
  </si>
  <si>
    <t>SonyYay.in@SD</t>
  </si>
  <si>
    <t>Sony YAY!</t>
  </si>
  <si>
    <t>6115</t>
  </si>
  <si>
    <t>SPOTV2.kr@SD</t>
  </si>
  <si>
    <t>SPOTV 2 (HD)</t>
  </si>
  <si>
    <t>6114</t>
  </si>
  <si>
    <t>SPOTV.kr@SD</t>
  </si>
  <si>
    <t>SPOTV (HD)</t>
  </si>
  <si>
    <t>5654</t>
  </si>
  <si>
    <t>5662</t>
  </si>
  <si>
    <t>STAR Gold</t>
  </si>
  <si>
    <t>5671</t>
  </si>
  <si>
    <t>StarMaa.in@SD</t>
  </si>
  <si>
    <t>Star Maa</t>
  </si>
  <si>
    <t>5656</t>
  </si>
  <si>
    <t>STAR Plus</t>
  </si>
  <si>
    <t>5627</t>
  </si>
  <si>
    <t>SunMusic.in@SD</t>
  </si>
  <si>
    <t>Sun Music</t>
  </si>
  <si>
    <t>5622</t>
  </si>
  <si>
    <t>SunTV.in@SD</t>
  </si>
  <si>
    <t>Sun TV</t>
  </si>
  <si>
    <t>5004</t>
  </si>
  <si>
    <t>Suria.sg@SD</t>
  </si>
  <si>
    <t>Suria (HD)</t>
  </si>
  <si>
    <t>5693</t>
  </si>
  <si>
    <t>The Filipino Channel</t>
  </si>
  <si>
    <t>5676</t>
  </si>
  <si>
    <t>TimesNow.in@SD</t>
  </si>
  <si>
    <t>Times Now</t>
  </si>
  <si>
    <t>5254</t>
  </si>
  <si>
    <t>TLC (HD)</t>
  </si>
  <si>
    <t>5257</t>
  </si>
  <si>
    <t>TraceSportStars.fr@HD</t>
  </si>
  <si>
    <t>TRACE Sports Stars HD</t>
  </si>
  <si>
    <t>6507</t>
  </si>
  <si>
    <t>TVBSAsia.tw@SD</t>
  </si>
  <si>
    <t>TVBS Asia</t>
  </si>
  <si>
    <t>6516</t>
  </si>
  <si>
    <t>5517</t>
  </si>
  <si>
    <t>TVBXingHe.hk@SD</t>
  </si>
  <si>
    <t>TVB Xing He (HD)</t>
  </si>
  <si>
    <t>5619</t>
  </si>
  <si>
    <t>tvN HD (Malay)</t>
  </si>
  <si>
    <t>5005</t>
  </si>
  <si>
    <t>Vasantham.sg@SD</t>
  </si>
  <si>
    <t>Vasantham (HD)</t>
  </si>
  <si>
    <t>5634</t>
  </si>
  <si>
    <t>VijayTVAsia.in@SD</t>
  </si>
  <si>
    <t>Vijay TV</t>
  </si>
  <si>
    <t>5268</t>
  </si>
  <si>
    <t>WakuWakuJapanSouthEastAsia.jp@SD</t>
  </si>
  <si>
    <t>WAKUWAKU JAPAN (HD) (Mandarin)</t>
  </si>
  <si>
    <t>5680</t>
  </si>
  <si>
    <t>5632</t>
  </si>
  <si>
    <t>ZeeTamil.in@SD</t>
  </si>
  <si>
    <t>Zee Tamil</t>
  </si>
  <si>
    <t>5624</t>
  </si>
  <si>
    <t>ZeeThirai.in@APAC</t>
  </si>
  <si>
    <t>Zee Thirai</t>
  </si>
  <si>
    <t>5646</t>
  </si>
  <si>
    <t>ZeeTV.in@SD</t>
  </si>
  <si>
    <t>ZEE TV</t>
  </si>
  <si>
    <t>https://servicebuss.transvision.co.id/hospitality/v1/files/channel_image/dc7d7072-39d4-4978-bc34-4e7654fe4469.jpg</t>
  </si>
  <si>
    <t>https://picture.dens.tv/wp/img/tvchannels_v1/340x160/1725851535_tvchannels_v1.jpg</t>
  </si>
  <si>
    <t>https://yt3.googleusercontent.com/WKRq04d0GELQDjNx0U_oGykR8D3Bk0FQvcslMkMxhSsj_9wfa1cWz7f9NBlTKqwN3rzO2CQjboU=s160-c-k-c0x00ffffff-no-rj</t>
  </si>
  <si>
    <t>https://divign0fdw3sv.cloudfront.net/Images/ChannelLogo/contenthub/503_144.png</t>
  </si>
  <si>
    <t>STATUS</t>
  </si>
  <si>
    <t>SID</t>
  </si>
  <si>
    <t>AIRING</t>
  </si>
  <si>
    <t>STREAM</t>
  </si>
  <si>
    <t>https://store-assets.jubelio.com/webstore-v2/images/jstorev2/t2d9d6gn8jnib/1741679892531_70281a6e-8880-4ce4-8a1e-8cebd085f2f2.png</t>
  </si>
  <si>
    <t>lejellive</t>
  </si>
  <si>
    <t>Lejel Home Shopping</t>
  </si>
  <si>
    <t>LejelHomeShoppingLive.id@SD</t>
  </si>
  <si>
    <t>alquranalkareem</t>
  </si>
  <si>
    <t>https://images.maxstream.tv/sites/default/files/entry/0_bhma6pov/landscape_carousel_hdpi.webp</t>
  </si>
  <si>
    <t>cartoonito</t>
  </si>
  <si>
    <t>https://images.maxstream.tv/sites/default/files/entry/0_3x6829f7/landscape_carousel_hdpi.webp</t>
  </si>
  <si>
    <t>https://images.maxstream.tv/sites/default/files/entry/0_1lrqq4s0/landscape_carousel_hdpi.webp</t>
  </si>
  <si>
    <t>channeljowo</t>
  </si>
  <si>
    <t>CHANNEL JOWO</t>
  </si>
  <si>
    <t>https://images.maxstream.tv/sites/default/files/entry/0_9yojwrwz/landscape_carousel_hdpi.webp</t>
  </si>
  <si>
    <t>tvriaceh</t>
  </si>
  <si>
    <t>TVRI Aceh</t>
  </si>
  <si>
    <t>https://images.maxstream.tv/sites/default/files/entry/0_6i016ql3/landscape_carousel_hdpi.webp</t>
  </si>
  <si>
    <t>tvribali</t>
  </si>
  <si>
    <t>TVRI Bali</t>
  </si>
  <si>
    <t>https://images.maxstream.tv/sites/default/files/entry/0_an14x24d/landscape_carousel_hdpi.webp</t>
  </si>
  <si>
    <t>tvrijawabarat</t>
  </si>
  <si>
    <t>TVRI Jawa Barat</t>
  </si>
  <si>
    <t>https://images.maxstream.tv/sites/default/files/entry/0_bau5kgv8/landscape_carousel_hdpi.webp</t>
  </si>
  <si>
    <t>tvrijawatengah</t>
  </si>
  <si>
    <t>TVRI Jawa Tengah</t>
  </si>
  <si>
    <t>https://images.maxstream.tv/sites/default/files/entry/0_qdhbds36/landscape_carousel_hdpi.webp</t>
  </si>
  <si>
    <t>tvrijawatimur</t>
  </si>
  <si>
    <t>TVRI Jawa Timur</t>
  </si>
  <si>
    <t>https://images.maxstream.tv/sites/default/files/entry/0_fy6agbg5/landscape_carousel_hdpi.webp</t>
  </si>
  <si>
    <t>tvrikalimantanselatan</t>
  </si>
  <si>
    <t>TVRI Kalimantan Selatan</t>
  </si>
  <si>
    <t>https://images.maxstream.tv/sites/default/files/entry/0_p8m9f947/landscape_carousel_hdpi.webp</t>
  </si>
  <si>
    <t>tvrikalimantantimur</t>
  </si>
  <si>
    <t>TVRI Kalimantan Timur</t>
  </si>
  <si>
    <t>https://images.maxstream.tv/sites/default/files/entry/0_rgiwongc/landscape_carousel_hdpi.webp</t>
  </si>
  <si>
    <t>tvrinusatenggaratimur</t>
  </si>
  <si>
    <t>TVRI Nusa Tenggara Timur</t>
  </si>
  <si>
    <t>https://images.maxstream.tv/sites/default/files/entry/0_2xosnmq1/landscape_carousel_hdpi.webp</t>
  </si>
  <si>
    <t>tvripapua</t>
  </si>
  <si>
    <t>TVRI Papua</t>
  </si>
  <si>
    <t>https://images.maxstream.tv/sites/default/files/entry/0_0qp19q7e/landscape_carousel_hdpi.webp</t>
  </si>
  <si>
    <t>tvririau</t>
  </si>
  <si>
    <t>TVRI Riau</t>
  </si>
  <si>
    <t>https://images.maxstream.tv/sites/default/files/entry/0_4xk1qsdx/landscape_carousel_hdpi.webp</t>
  </si>
  <si>
    <t>tvrisulawesiutara</t>
  </si>
  <si>
    <t>TVRI Sulawesi Utara</t>
  </si>
  <si>
    <t>https://images.maxstream.tv/sites/default/files/entry/0_cd14nsg8/landscape_carousel_hdpi.webp</t>
  </si>
  <si>
    <t>tvrisumaterabarat</t>
  </si>
  <si>
    <t>TVRI Sumatera Barat</t>
  </si>
  <si>
    <t>https://images.maxstream.tv/sites/default/files/entry/0_v48zfp81/landscape_carousel_hdpi.webp</t>
  </si>
  <si>
    <t>tvrisumateraselatan</t>
  </si>
  <si>
    <t>TVRI Sumatera Selatan</t>
  </si>
  <si>
    <t>https://images.maxstream.tv/sites/default/files/entry/0_3p6aju2f/landscape_carousel_hdpi.webp</t>
  </si>
  <si>
    <t>tvrisumaterautara</t>
  </si>
  <si>
    <t>TVRI Sumatera Utara</t>
  </si>
  <si>
    <t>https://images.maxstream.tv/sites/default/files/entry/0_dvyw9euc/landscape_carousel_hdpi.webp</t>
  </si>
  <si>
    <t>tvriyogyakarta</t>
  </si>
  <si>
    <t>TVRI Yogyakarta</t>
  </si>
  <si>
    <t>https://images.maxstream.tv/sites/default/files/entry/0_5eejr9rj/landscape_carousel_hdpi.webp</t>
  </si>
  <si>
    <t>warnertv</t>
  </si>
  <si>
    <t>https://images.maxstream.tv/sites/default/files/entry/0_meap4fi2/landscape_carousel_hdpi.webp</t>
  </si>
  <si>
    <t>CartoonitoAsia.sg@SD</t>
  </si>
  <si>
    <t>0_bhma6pov</t>
  </si>
  <si>
    <t>0_3x6829f7</t>
  </si>
  <si>
    <t>0_1lrqq4s0</t>
  </si>
  <si>
    <t>0_meap4fi2</t>
  </si>
  <si>
    <t>https://example.com/guides/indihometv1.xml</t>
  </si>
  <si>
    <t>https://example.com/guides/indihometv2.xml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</si>
</sst>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0" fontId="1" fillId="0" borderId="0" xfId="0" applyFont="1"/>
    <xf numFmtId="0" fontId="2" fillId="0" borderId="0" xfId="1"/>
    <xf numFmtId="0" fontId="0" fillId="0" borderId="0" xfId="0" quotePrefix="1"/>
    <xf numFmtId="0" fontId="0" fillId="0" borderId="0" xfId="0" applyNumberFormat="1"/>
    <xf numFmtId="0" fontId="2" fillId="0" borderId="0" xfId="1" applyNumberFormat="1"/>
    <xf numFmtId="0" fontId="0" fillId="0" borderId="0" xfId="0" applyAlignment="1">
      <alignment vertical="top"/>
    </xf>
    <xf numFmtId="0" fontId="2" fillId="0" borderId="0" xfId="1" applyAlignment="1">
      <alignment vertical="top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</cellXfs>
  <cellStyles count="2">
    <cellStyle name="Hyperlink" xfId="1" builtinId="8"/>
    <cellStyle name="Normal" xfId="0" builtinId="0"/>
  </cellStyles>
  <dxfs count="24">
    <dxf>
      <alignment horizontal="general" vertical="top" textRotation="0" wrapText="1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font>
        <color theme="9" tint="-0.24994659260841701"/>
      </font>
    </dxf>
    <dxf>
      <font>
        <color rgb="FFC0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font>
        <color theme="9" tint="-0.24994659260841701"/>
      </font>
    </dxf>
    <dxf>
      <font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66B578-F2D0-4882-B0E6-08B950E9CBFB}" name="M3U" displayName="M3U" ref="A1:L239" totalsRowShown="0">
  <autoFilter ref="A1:L239" xr:uid="{8166B578-F2D0-4882-B0E6-08B950E9CBFB}">
    <filterColumn colId="11">
      <filters>
        <filter val="TRUE"/>
      </filters>
    </filterColumn>
  </autoFilter>
  <tableColumns count="12">
    <tableColumn id="11" xr3:uid="{E4C5FF30-3713-4755-8E76-C01EFC3B4149}" name="ID"/>
    <tableColumn id="2" xr3:uid="{EC774F93-95AD-4697-ADB3-7E4565747B30}" name="TVGID"/>
    <tableColumn id="12" xr3:uid="{C4C1E0E6-7391-4C77-AD2D-8E956780E136}" name="FLAG" dataDxfId="21">
      <calculatedColumnFormula>IF(ISERROR(VLOOKUP(M3U[[#This Row],[TVGID]],GUIDE[[#All],[TVGID]],1,0)),"✗","✓")</calculatedColumnFormula>
    </tableColumn>
    <tableColumn id="1" xr3:uid="{E66331BF-77EB-4FFE-B656-86C4A2C26113}" name="CH"/>
    <tableColumn id="10" xr3:uid="{DEACB662-5F9F-41EB-A0B6-5BE283C0174A}" name="Q"/>
    <tableColumn id="3" xr3:uid="{A7DCDC6B-18C4-4C40-A8A2-728A2CCA6282}" name="NAME" dataDxfId="20">
      <calculatedColumnFormula>IFERROR(IFERROR(VLOOKUP(M3U[[#This Row],[ID]],CHANNEL[#All],2,0)&amp;IF(M3U[[#This Row],[Q]]&lt;&gt;"SD"," "&amp;M3U[[#This Row],[Q]],""),VLOOKUP(M3U[[#This Row],[ID]],CHANNEL_EXT[#All],2,0)&amp;IF(M3U[[#This Row],[Q]]&lt;&gt;"SD"," "&amp;M3U[[#This Row],[Q]],"")),"-")</calculatedColumnFormula>
    </tableColumn>
    <tableColumn id="4" xr3:uid="{3F4B220F-1487-44F5-89B1-471767E3CDAD}" name="LOGO" dataDxfId="19" dataCellStyle="Hyperlink">
      <calculatedColumnFormula>IFERROR(IFERROR(VLOOKUP(M3U[[#This Row],[ID]],CHANNEL[#All],4,0),VLOOKUP(M3U[[#This Row],[ID]],CHANNEL_EXT[#All],4,0)),"-")</calculatedColumnFormula>
    </tableColumn>
    <tableColumn id="5" xr3:uid="{908D51D9-1821-497D-8041-E45C499E7B08}" name="CATEGORY" dataDxfId="18">
      <calculatedColumnFormula>IFERROR(IFERROR(VLOOKUP(M3U[[#This Row],[ID]],CHANNEL[#All],3,0),VLOOKUP(M3U[[#This Row],[ID]],CHANNEL_EXT[#All],3,0)),"-")</calculatedColumnFormula>
    </tableColumn>
    <tableColumn id="9" xr3:uid="{7068C3C8-9F0C-4CF3-A7FC-7E98FCE852C7}" name="STREAM" dataDxfId="17">
      <calculatedColumnFormula>IF(ISERROR(VLOOKUP(M3U[[#This Row],[ID]]&amp;"-"&amp;M3U[[#This Row],[Q]],STREAM[[#All],[SID]],1,0)),"✗","✓")</calculatedColumnFormula>
    </tableColumn>
    <tableColumn id="6" xr3:uid="{169D5778-EBA7-44DA-A207-3E4C6565A1FA}" name="ADDRESS">
      <calculatedColumnFormula>IFERROR(VLOOKUP(M3U[[#This Row],[ID]]&amp;"-"&amp;M3U[[#This Row],[Q]],STREAM[],5,0),"-")</calculatedColumnFormula>
    </tableColumn>
    <tableColumn id="7" xr3:uid="{A3523BC5-793F-404C-A453-57CB2C991365}" name="PORT">
      <calculatedColumnFormula>IFERROR(VLOOKUP(M3U[[#This Row],[ID]]&amp;"-"&amp;M3U[[#This Row],[Q]],STREAM[],6,0),"-")</calculatedColumnFormula>
    </tableColumn>
    <tableColumn id="8" xr3:uid="{1EC078FC-E8A6-4805-8F05-4948134FF510}" name="ENABLED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5FB5DCD-7EC1-4D67-AF17-2515932A3A76}" name="STREAM" displayName="STREAM" ref="A1:G7" totalsRowShown="0">
  <autoFilter ref="A1:G7" xr:uid="{8166B578-F2D0-4882-B0E6-08B950E9CBFB}"/>
  <tableColumns count="7">
    <tableColumn id="1" xr3:uid="{6C9F1564-9543-4C41-AE52-0B42538E5F01}" name="SID" dataDxfId="16">
      <calculatedColumnFormula>STREAM[[#This Row],[ID]]&amp;"-"&amp;STREAM[[#This Row],[Q]]</calculatedColumnFormula>
    </tableColumn>
    <tableColumn id="11" xr3:uid="{439B1D83-BEB6-43EB-90F7-17165E3491B9}" name="ID"/>
    <tableColumn id="10" xr3:uid="{57F58E88-05D5-41CD-A0BB-E987BD33D3C3}" name="Q" dataDxfId="15"/>
    <tableColumn id="3" xr3:uid="{0E5965FA-F34E-4E44-A1C5-149E0CE07592}" name="NAME" dataDxfId="14">
      <calculatedColumnFormula>IFERROR(IFERROR(VLOOKUP(STREAM[[#This Row],[ID]],CHANNEL[#All],2,0)&amp;IF(STREAM[[#This Row],[Q]]&lt;&gt;"SD"," "&amp;STREAM[[#This Row],[Q]],""),VLOOKUP(STREAM[[#This Row],[ID]],CHANNEL_EXT[#All],2,0)&amp;IF(STREAM[[#This Row],[Q]]&lt;&gt;"SD"," "&amp;STREAM[[#This Row],[Q]],"")),"-")</calculatedColumnFormula>
    </tableColumn>
    <tableColumn id="6" xr3:uid="{C36D203B-A1EC-45D5-AC9E-5FD4DB7F0247}" name="ADDRESS"/>
    <tableColumn id="7" xr3:uid="{86E277A3-DE8D-45AC-ABBF-20AD30F6C400}" name="PORT"/>
    <tableColumn id="8" xr3:uid="{58378369-CB9D-42C6-AA3C-92904C29CF5E}" name="STATU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051842-F4E7-4439-A374-9C30A86FAD5D}" name="EPG" displayName="EPG" ref="A1:B3" totalsRowShown="0">
  <autoFilter ref="A1:B3" xr:uid="{1C051842-F4E7-4439-A374-9C30A86FAD5D}"/>
  <tableColumns count="2">
    <tableColumn id="1" xr3:uid="{6696B1D1-F6E5-4E40-85EC-96129C7055A8}" name="EPG"/>
    <tableColumn id="2" xr3:uid="{A1F0D00B-63A0-41F1-B66F-2F8803C0DEDE}" name="ENABLED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DEE0CF9-696C-4A44-98DF-63DEBBB0F0E2}" name="XMLTV" displayName="XMLTV" ref="A1:E291" totalsRowShown="0">
  <autoFilter ref="A1:E291" xr:uid="{3DEE0CF9-696C-4A44-98DF-63DEBBB0F0E2}">
    <filterColumn colId="4">
      <filters>
        <filter val="TRUE"/>
      </filters>
    </filterColumn>
  </autoFilter>
  <tableColumns count="5">
    <tableColumn id="1" xr3:uid="{060E90AD-377C-48CD-B72C-E5C8F34BA60A}" name="COLLECTION"/>
    <tableColumn id="2" xr3:uid="{F9148382-C2A5-452C-8D03-CD199D04A245}" name="TVGID"/>
    <tableColumn id="3" xr3:uid="{A8A8EEDE-4699-490F-822B-4F9973C3D202}" name="SITE"/>
    <tableColumn id="4" xr3:uid="{2FE997E8-AE80-41A0-8CF2-E0BCD677BD47}" name="FLAG" dataDxfId="11">
      <calculatedColumnFormula>IF(ISERROR(VLOOKUP(XMLTV[[#This Row],[SITE]]&amp;"-"&amp;XMLTV[[#This Row],[TVGID]],GUIDE[#All],1,0)),"✗","✓")</calculatedColumnFormula>
    </tableColumn>
    <tableColumn id="5" xr3:uid="{DD2D470E-1B0F-4607-89DD-37EBF2099A14}" name="ENABLED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6E808D2-F35F-4E40-9279-7CD2921F33A2}" name="GUIDE" displayName="GUIDE" ref="A1:F787" totalsRowShown="0">
  <autoFilter ref="A1:F787" xr:uid="{86E808D2-F35F-4E40-9279-7CD2921F33A2}"/>
  <sortState xmlns:xlrd2="http://schemas.microsoft.com/office/spreadsheetml/2017/richdata2" ref="A2:F787">
    <sortCondition ref="A2:A787"/>
  </sortState>
  <tableColumns count="6">
    <tableColumn id="1" xr3:uid="{8A778FA7-FFAD-4134-881F-694C05B6A415}" name="GID" dataDxfId="10">
      <calculatedColumnFormula>GUIDE[[#This Row],[SITE]]&amp;"-"&amp;GUIDE[[#This Row],[TVGID]]</calculatedColumnFormula>
    </tableColumn>
    <tableColumn id="2" xr3:uid="{C2F13AE3-ADE1-4969-B488-FEF8C716F5F8}" name="SITE"/>
    <tableColumn id="3" xr3:uid="{70009D89-3CED-4CDC-BC7E-B5767E3B0BFB}" name="SITE_ID"/>
    <tableColumn id="4" xr3:uid="{564F18A7-73E2-416F-A32F-CCF78D2D32C9}" name="LANG"/>
    <tableColumn id="6" xr3:uid="{6EE71BBF-CFC0-43AC-B157-4845F8821F3F}" name="TVGID"/>
    <tableColumn id="5" xr3:uid="{D37E2332-7381-4CC7-B3D5-C550D600FA6C}" name="CHANNEL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818923-3B18-4797-8F66-210121993D8A}" name="CHANNEL" displayName="CHANNEL" ref="A1:D150" totalsRowShown="0" dataDxfId="9">
  <autoFilter ref="A1:D150" xr:uid="{00818923-3B18-4797-8F66-210121993D8A}"/>
  <sortState xmlns:xlrd2="http://schemas.microsoft.com/office/spreadsheetml/2017/richdata2" ref="A2:D150">
    <sortCondition ref="A2:A150"/>
  </sortState>
  <tableColumns count="4">
    <tableColumn id="1" xr3:uid="{02D13B29-DC41-4454-BBD8-7478EDF25A96}" name="ID" dataDxfId="8"/>
    <tableColumn id="2" xr3:uid="{089407D0-E5C4-49FC-B38A-C4932565795F}" name="NAME" dataDxfId="7"/>
    <tableColumn id="3" xr3:uid="{9771594F-8B22-4421-AEAA-9E1722F7D050}" name="CATEGORY" dataDxfId="6"/>
    <tableColumn id="4" xr3:uid="{4A0FE7F9-6F77-4C7F-904D-3C64ACFA7648}" name="LOGO" dataDxfId="5" dataCellStyle="Hyperlink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49DDEF3-98E0-4478-A6DB-18379A896709}" name="CHANNEL_EXT" displayName="CHANNEL_EXT" ref="A1:D174" totalsRowShown="0" dataDxfId="4">
  <autoFilter ref="A1:D174" xr:uid="{00818923-3B18-4797-8F66-210121993D8A}"/>
  <sortState xmlns:xlrd2="http://schemas.microsoft.com/office/spreadsheetml/2017/richdata2" ref="A2:D174">
    <sortCondition ref="A2:A174"/>
  </sortState>
  <tableColumns count="4">
    <tableColumn id="1" xr3:uid="{1C142560-F9E9-488A-8DAA-E182909078DF}" name="ID" dataDxfId="3"/>
    <tableColumn id="2" xr3:uid="{E82064EA-1D46-4A57-867D-0F6AA8071C03}" name="NAME" dataDxfId="2"/>
    <tableColumn id="3" xr3:uid="{B318B9FA-4ABD-4E13-BF4D-504FB6D5423A}" name="CATEGORY" dataDxfId="1"/>
    <tableColumn id="4" xr3:uid="{424CB4F5-7C13-47CC-97B9-AB0D8B5E8DE3}" name="LOGO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mailto:MNCTV.id@SD" TargetMode="External"/><Relationship Id="rId21" Type="http://schemas.openxmlformats.org/officeDocument/2006/relationships/hyperlink" Target="mailto:DAAITV.id@SD" TargetMode="External"/><Relationship Id="rId42" Type="http://schemas.openxmlformats.org/officeDocument/2006/relationships/hyperlink" Target="mailto:Prambors.id@SD" TargetMode="External"/><Relationship Id="rId63" Type="http://schemas.openxmlformats.org/officeDocument/2006/relationships/hyperlink" Target="mailto:CinemaxAsia.sg@SD" TargetMode="External"/><Relationship Id="rId84" Type="http://schemas.openxmlformats.org/officeDocument/2006/relationships/hyperlink" Target="mailto:MTATV.id@SD" TargetMode="External"/><Relationship Id="rId138" Type="http://schemas.openxmlformats.org/officeDocument/2006/relationships/hyperlink" Target="mailto:DreamWorksChannelAsia.us@SD" TargetMode="External"/><Relationship Id="rId159" Type="http://schemas.openxmlformats.org/officeDocument/2006/relationships/hyperlink" Target="mailto:ROCKEntertainment.sg@SD" TargetMode="External"/><Relationship Id="rId170" Type="http://schemas.openxmlformats.org/officeDocument/2006/relationships/hyperlink" Target="mailto:ArirangTV.kr@SD" TargetMode="External"/><Relationship Id="rId191" Type="http://schemas.openxmlformats.org/officeDocument/2006/relationships/hyperlink" Target="mailto:BioskopIndonesia.id@SD" TargetMode="External"/><Relationship Id="rId205" Type="http://schemas.openxmlformats.org/officeDocument/2006/relationships/hyperlink" Target="mailto:HorizonSports.us@SD" TargetMode="External"/><Relationship Id="rId226" Type="http://schemas.openxmlformats.org/officeDocument/2006/relationships/hyperlink" Target="mailto:HBOFamilyAsia.sg@SD" TargetMode="External"/><Relationship Id="rId107" Type="http://schemas.openxmlformats.org/officeDocument/2006/relationships/hyperlink" Target="mailto:BaliTV.id@SD" TargetMode="External"/><Relationship Id="rId11" Type="http://schemas.openxmlformats.org/officeDocument/2006/relationships/hyperlink" Target="mailto:Trans7.id@SD" TargetMode="External"/><Relationship Id="rId32" Type="http://schemas.openxmlformats.org/officeDocument/2006/relationships/hyperlink" Target="mailto:CartoonNetworkAsia.sg@SD" TargetMode="External"/><Relationship Id="rId53" Type="http://schemas.openxmlformats.org/officeDocument/2006/relationships/hyperlink" Target="mailto:NHKWorldPremium.jp@SD" TargetMode="External"/><Relationship Id="rId74" Type="http://schemas.openxmlformats.org/officeDocument/2006/relationships/hyperlink" Target="mailto:SPOTV.id@SD" TargetMode="External"/><Relationship Id="rId128" Type="http://schemas.openxmlformats.org/officeDocument/2006/relationships/hyperlink" Target="mailto:CGTNDocumentary.cn@SD" TargetMode="External"/><Relationship Id="rId149" Type="http://schemas.openxmlformats.org/officeDocument/2006/relationships/hyperlink" Target="mailto:ROCKAction.sg@SD" TargetMode="External"/><Relationship Id="rId5" Type="http://schemas.openxmlformats.org/officeDocument/2006/relationships/hyperlink" Target="mailto:DW.de@English" TargetMode="External"/><Relationship Id="rId95" Type="http://schemas.openxmlformats.org/officeDocument/2006/relationships/hyperlink" Target="mailto:ANTV.id@SD" TargetMode="External"/><Relationship Id="rId160" Type="http://schemas.openxmlformats.org/officeDocument/2006/relationships/hyperlink" Target="mailto:tvNAsia.hk@SD" TargetMode="External"/><Relationship Id="rId181" Type="http://schemas.openxmlformats.org/officeDocument/2006/relationships/hyperlink" Target="mailto:HBOSignatureAsia.sg@SD" TargetMode="External"/><Relationship Id="rId216" Type="http://schemas.openxmlformats.org/officeDocument/2006/relationships/hyperlink" Target="mailto:BBCNews.uk@AsiaPacific" TargetMode="External"/><Relationship Id="rId237" Type="http://schemas.openxmlformats.org/officeDocument/2006/relationships/hyperlink" Target="mailto:CartoonitoAsia.sg@SD" TargetMode="External"/><Relationship Id="rId22" Type="http://schemas.openxmlformats.org/officeDocument/2006/relationships/hyperlink" Target="mailto:AntaraTV.id@SD" TargetMode="External"/><Relationship Id="rId43" Type="http://schemas.openxmlformats.org/officeDocument/2006/relationships/hyperlink" Target="mailto:HGTVAsia.us@SD" TargetMode="External"/><Relationship Id="rId64" Type="http://schemas.openxmlformats.org/officeDocument/2006/relationships/hyperlink" Target="mailto:HBOHitsAsia.sg@SD" TargetMode="External"/><Relationship Id="rId118" Type="http://schemas.openxmlformats.org/officeDocument/2006/relationships/hyperlink" Target="mailto:SinPoTV.id@HD" TargetMode="External"/><Relationship Id="rId139" Type="http://schemas.openxmlformats.org/officeDocument/2006/relationships/hyperlink" Target="mailto:MyKidz.id@SD" TargetMode="External"/><Relationship Id="rId85" Type="http://schemas.openxmlformats.org/officeDocument/2006/relationships/hyperlink" Target="mailto:MAXStream.id@SD" TargetMode="External"/><Relationship Id="rId150" Type="http://schemas.openxmlformats.org/officeDocument/2006/relationships/hyperlink" Target="mailto:nsert.id@SD" TargetMode="External"/><Relationship Id="rId171" Type="http://schemas.openxmlformats.org/officeDocument/2006/relationships/hyperlink" Target="mailto:CitraDrama.id@SD" TargetMode="External"/><Relationship Id="rId192" Type="http://schemas.openxmlformats.org/officeDocument/2006/relationships/hyperlink" Target="mailto:Galaxy.id@SD" TargetMode="External"/><Relationship Id="rId206" Type="http://schemas.openxmlformats.org/officeDocument/2006/relationships/hyperlink" Target="mailto:CNNInternational.us@AsiaPacific" TargetMode="External"/><Relationship Id="rId227" Type="http://schemas.openxmlformats.org/officeDocument/2006/relationships/hyperlink" Target="mailto:HBOHitsAsia.sg@SD" TargetMode="External"/><Relationship Id="rId12" Type="http://schemas.openxmlformats.org/officeDocument/2006/relationships/hyperlink" Target="mailto:LejelHomeShopping.id@SD" TargetMode="External"/><Relationship Id="rId33" Type="http://schemas.openxmlformats.org/officeDocument/2006/relationships/hyperlink" Target="mailto:CartoonitoAsia.sg@SD" TargetMode="External"/><Relationship Id="rId108" Type="http://schemas.openxmlformats.org/officeDocument/2006/relationships/hyperlink" Target="mailto:ATV.id@SD" TargetMode="External"/><Relationship Id="rId129" Type="http://schemas.openxmlformats.org/officeDocument/2006/relationships/hyperlink" Target="mailto:DiscoveryChannelSoutheastAsia.sg@SD" TargetMode="External"/><Relationship Id="rId54" Type="http://schemas.openxmlformats.org/officeDocument/2006/relationships/hyperlink" Target="mailto:KPlus.sg@SD" TargetMode="External"/><Relationship Id="rId75" Type="http://schemas.openxmlformats.org/officeDocument/2006/relationships/hyperlink" Target="mailto:SPOTV2.id@SD" TargetMode="External"/><Relationship Id="rId96" Type="http://schemas.openxmlformats.org/officeDocument/2006/relationships/hyperlink" Target="mailto:Indosiar.id@SD" TargetMode="External"/><Relationship Id="rId140" Type="http://schemas.openxmlformats.org/officeDocument/2006/relationships/hyperlink" Target="mailto:MAXKids.id@SD" TargetMode="External"/><Relationship Id="rId161" Type="http://schemas.openxmlformats.org/officeDocument/2006/relationships/hyperlink" Target="mailto:KBSWorld.kr@SD" TargetMode="External"/><Relationship Id="rId182" Type="http://schemas.openxmlformats.org/officeDocument/2006/relationships/hyperlink" Target="mailto:CinemaxAsia.sg@SD" TargetMode="External"/><Relationship Id="rId217" Type="http://schemas.openxmlformats.org/officeDocument/2006/relationships/hyperlink" Target="mailto:RT.ru@SD" TargetMode="External"/><Relationship Id="rId6" Type="http://schemas.openxmlformats.org/officeDocument/2006/relationships/hyperlink" Target="mailto:MAXReels.id@SD" TargetMode="External"/><Relationship Id="rId238" Type="http://schemas.openxmlformats.org/officeDocument/2006/relationships/printerSettings" Target="../printerSettings/printerSettings2.bin"/><Relationship Id="rId23" Type="http://schemas.openxmlformats.org/officeDocument/2006/relationships/hyperlink" Target="mailto:INews.id@SD" TargetMode="External"/><Relationship Id="rId119" Type="http://schemas.openxmlformats.org/officeDocument/2006/relationships/hyperlink" Target="mailto:GTV.id@SD" TargetMode="External"/><Relationship Id="rId44" Type="http://schemas.openxmlformats.org/officeDocument/2006/relationships/hyperlink" Target="mailto:AnimaxAsia.sg@SD" TargetMode="External"/><Relationship Id="rId65" Type="http://schemas.openxmlformats.org/officeDocument/2006/relationships/hyperlink" Target="mailto:HBOFamilyAsia.sg@SD" TargetMode="External"/><Relationship Id="rId86" Type="http://schemas.openxmlformats.org/officeDocument/2006/relationships/hyperlink" Target="mailto:MAXReels.id@SD" TargetMode="External"/><Relationship Id="rId130" Type="http://schemas.openxmlformats.org/officeDocument/2006/relationships/hyperlink" Target="mailto:CBeebiesAsia.uk@SD" TargetMode="External"/><Relationship Id="rId151" Type="http://schemas.openxmlformats.org/officeDocument/2006/relationships/hyperlink" Target="mailto:AnimaxAsia.sg@SD" TargetMode="External"/><Relationship Id="rId172" Type="http://schemas.openxmlformats.org/officeDocument/2006/relationships/hyperlink" Target="mailto:CitraDangdut.id@SD" TargetMode="External"/><Relationship Id="rId193" Type="http://schemas.openxmlformats.org/officeDocument/2006/relationships/hyperlink" Target="mailto:Flik.id@SD" TargetMode="External"/><Relationship Id="rId207" Type="http://schemas.openxmlformats.org/officeDocument/2006/relationships/hyperlink" Target="mailto:BloombergTV.us@Asia" TargetMode="External"/><Relationship Id="rId228" Type="http://schemas.openxmlformats.org/officeDocument/2006/relationships/hyperlink" Target="mailto:HBOSignatureAsia.sg@SD" TargetMode="External"/><Relationship Id="rId13" Type="http://schemas.openxmlformats.org/officeDocument/2006/relationships/hyperlink" Target="mailto:SCTV.id@SD" TargetMode="External"/><Relationship Id="rId109" Type="http://schemas.openxmlformats.org/officeDocument/2006/relationships/hyperlink" Target="mailto:DAAITV.id@SD" TargetMode="External"/><Relationship Id="rId34" Type="http://schemas.openxmlformats.org/officeDocument/2006/relationships/hyperlink" Target="mailto:DreamWorksChannelAsia.us@SD" TargetMode="External"/><Relationship Id="rId55" Type="http://schemas.openxmlformats.org/officeDocument/2006/relationships/hyperlink" Target="mailto:DuniaLain.id@SD" TargetMode="External"/><Relationship Id="rId76" Type="http://schemas.openxmlformats.org/officeDocument/2006/relationships/hyperlink" Target="mailto:FightSports.us@SD" TargetMode="External"/><Relationship Id="rId97" Type="http://schemas.openxmlformats.org/officeDocument/2006/relationships/hyperlink" Target="mailto:MAXEats.id@SD" TargetMode="External"/><Relationship Id="rId120" Type="http://schemas.openxmlformats.org/officeDocument/2006/relationships/hyperlink" Target="mailto:RCTI.id@SD" TargetMode="External"/><Relationship Id="rId141" Type="http://schemas.openxmlformats.org/officeDocument/2006/relationships/hyperlink" Target="mailto:Horee.id@SD" TargetMode="External"/><Relationship Id="rId7" Type="http://schemas.openxmlformats.org/officeDocument/2006/relationships/hyperlink" Target="mailto:TVRI.id@SD" TargetMode="External"/><Relationship Id="rId162" Type="http://schemas.openxmlformats.org/officeDocument/2006/relationships/hyperlink" Target="mailto:AniplusAsia.sg@SD" TargetMode="External"/><Relationship Id="rId183" Type="http://schemas.openxmlformats.org/officeDocument/2006/relationships/hyperlink" Target="mailto:HBOHitsAsia.sg@SD" TargetMode="External"/><Relationship Id="rId218" Type="http://schemas.openxmlformats.org/officeDocument/2006/relationships/hyperlink" Target="mailto:TVMu.id@SD" TargetMode="External"/><Relationship Id="rId239" Type="http://schemas.openxmlformats.org/officeDocument/2006/relationships/table" Target="../tables/table1.xml"/><Relationship Id="rId24" Type="http://schemas.openxmlformats.org/officeDocument/2006/relationships/hyperlink" Target="mailto:Moji.id@SD" TargetMode="External"/><Relationship Id="rId45" Type="http://schemas.openxmlformats.org/officeDocument/2006/relationships/hyperlink" Target="mailto:LifetimeAsia.us@SD" TargetMode="External"/><Relationship Id="rId66" Type="http://schemas.openxmlformats.org/officeDocument/2006/relationships/hyperlink" Target="mailto:HITSMovies.sg@SD" TargetMode="External"/><Relationship Id="rId87" Type="http://schemas.openxmlformats.org/officeDocument/2006/relationships/hyperlink" Target="mailto:TVRI.id@SD" TargetMode="External"/><Relationship Id="rId110" Type="http://schemas.openxmlformats.org/officeDocument/2006/relationships/hyperlink" Target="mailto:AntaraTV.id@SD" TargetMode="External"/><Relationship Id="rId131" Type="http://schemas.openxmlformats.org/officeDocument/2006/relationships/hyperlink" Target="mailto:LoveNature.ca@SD" TargetMode="External"/><Relationship Id="rId152" Type="http://schemas.openxmlformats.org/officeDocument/2006/relationships/hyperlink" Target="mailto:LifetimeAsia.us@SD" TargetMode="External"/><Relationship Id="rId173" Type="http://schemas.openxmlformats.org/officeDocument/2006/relationships/hyperlink" Target="mailto:NewTVVariety.id@SD" TargetMode="External"/><Relationship Id="rId194" Type="http://schemas.openxmlformats.org/officeDocument/2006/relationships/hyperlink" Target="mailto:IMC.id@SD" TargetMode="External"/><Relationship Id="rId208" Type="http://schemas.openxmlformats.org/officeDocument/2006/relationships/hyperlink" Target="mailto:CNBCAsia.sg@SD" TargetMode="External"/><Relationship Id="rId229" Type="http://schemas.openxmlformats.org/officeDocument/2006/relationships/hyperlink" Target="mailto:HBOAsia.sg@SD" TargetMode="External"/><Relationship Id="rId14" Type="http://schemas.openxmlformats.org/officeDocument/2006/relationships/hyperlink" Target="mailto:ANTV.id@SD" TargetMode="External"/><Relationship Id="rId35" Type="http://schemas.openxmlformats.org/officeDocument/2006/relationships/hyperlink" Target="mailto:MyKidz.id@SD" TargetMode="External"/><Relationship Id="rId56" Type="http://schemas.openxmlformats.org/officeDocument/2006/relationships/hyperlink" Target="mailto:ABCAustralia.au@SD" TargetMode="External"/><Relationship Id="rId77" Type="http://schemas.openxmlformats.org/officeDocument/2006/relationships/hyperlink" Target="mailto:NBATV.us@SD" TargetMode="External"/><Relationship Id="rId100" Type="http://schemas.openxmlformats.org/officeDocument/2006/relationships/hyperlink" Target="mailto:KompasTV.id@SD" TargetMode="External"/><Relationship Id="rId8" Type="http://schemas.openxmlformats.org/officeDocument/2006/relationships/hyperlink" Target="mailto:MetroTV.id@SD" TargetMode="External"/><Relationship Id="rId98" Type="http://schemas.openxmlformats.org/officeDocument/2006/relationships/hyperlink" Target="mailto:GarudaTV.id@SD" TargetMode="External"/><Relationship Id="rId121" Type="http://schemas.openxmlformats.org/officeDocument/2006/relationships/hyperlink" Target="mailto:TVRIWorld.id@SD" TargetMode="External"/><Relationship Id="rId142" Type="http://schemas.openxmlformats.org/officeDocument/2006/relationships/hyperlink" Target="mailto:MentariTV.id@SD" TargetMode="External"/><Relationship Id="rId163" Type="http://schemas.openxmlformats.org/officeDocument/2006/relationships/hyperlink" Target="mailto:NHKWorldPremium.jp@SD" TargetMode="External"/><Relationship Id="rId184" Type="http://schemas.openxmlformats.org/officeDocument/2006/relationships/hyperlink" Target="mailto:HBOFamilyAsia.sg@SD" TargetMode="External"/><Relationship Id="rId219" Type="http://schemas.openxmlformats.org/officeDocument/2006/relationships/hyperlink" Target="mailto:TV9Nusantara.id@SD" TargetMode="External"/><Relationship Id="rId230" Type="http://schemas.openxmlformats.org/officeDocument/2006/relationships/hyperlink" Target="mailto:TVMUI.id@SD" TargetMode="External"/><Relationship Id="rId25" Type="http://schemas.openxmlformats.org/officeDocument/2006/relationships/hyperlink" Target="mailto:CNBCIndonesia.id@SD" TargetMode="External"/><Relationship Id="rId46" Type="http://schemas.openxmlformats.org/officeDocument/2006/relationships/hyperlink" Target="mailto:KIX.hk@SD" TargetMode="External"/><Relationship Id="rId67" Type="http://schemas.openxmlformats.org/officeDocument/2006/relationships/hyperlink" Target="mailto:CelestialMoviesIndonesia.id@SD" TargetMode="External"/><Relationship Id="rId88" Type="http://schemas.openxmlformats.org/officeDocument/2006/relationships/hyperlink" Target="mailto:MetroTV.id@SD" TargetMode="External"/><Relationship Id="rId111" Type="http://schemas.openxmlformats.org/officeDocument/2006/relationships/hyperlink" Target="mailto:NusantaraTV.id@SD" TargetMode="External"/><Relationship Id="rId132" Type="http://schemas.openxmlformats.org/officeDocument/2006/relationships/hyperlink" Target="mailto:DaVinciAsia.de@SD" TargetMode="External"/><Relationship Id="rId153" Type="http://schemas.openxmlformats.org/officeDocument/2006/relationships/hyperlink" Target="mailto:KIX.hk@SD" TargetMode="External"/><Relationship Id="rId174" Type="http://schemas.openxmlformats.org/officeDocument/2006/relationships/hyperlink" Target="mailto:ShenzhenTV.cn@SD" TargetMode="External"/><Relationship Id="rId195" Type="http://schemas.openxmlformats.org/officeDocument/2006/relationships/hyperlink" Target="mailto:GalaxyPremium.id@SD" TargetMode="External"/><Relationship Id="rId209" Type="http://schemas.openxmlformats.org/officeDocument/2006/relationships/hyperlink" Target="mailto:CNA.sg@SD" TargetMode="External"/><Relationship Id="rId190" Type="http://schemas.openxmlformats.org/officeDocument/2006/relationships/hyperlink" Target="mailto:CinemaWorld.my@SD" TargetMode="External"/><Relationship Id="rId204" Type="http://schemas.openxmlformats.org/officeDocument/2006/relationships/hyperlink" Target="mailto:EuronewsEnglish.fr@SD" TargetMode="External"/><Relationship Id="rId220" Type="http://schemas.openxmlformats.org/officeDocument/2006/relationships/hyperlink" Target="mailto:MQTV.id@SD" TargetMode="External"/><Relationship Id="rId225" Type="http://schemas.openxmlformats.org/officeDocument/2006/relationships/hyperlink" Target="mailto:CinemaxAsia.sg@SD" TargetMode="External"/><Relationship Id="rId15" Type="http://schemas.openxmlformats.org/officeDocument/2006/relationships/hyperlink" Target="mailto:Indosiar.id@SD" TargetMode="External"/><Relationship Id="rId36" Type="http://schemas.openxmlformats.org/officeDocument/2006/relationships/hyperlink" Target="mailto:Horee.id@SD" TargetMode="External"/><Relationship Id="rId57" Type="http://schemas.openxmlformats.org/officeDocument/2006/relationships/hyperlink" Target="mailto:CitraDrama.id@SD" TargetMode="External"/><Relationship Id="rId106" Type="http://schemas.openxmlformats.org/officeDocument/2006/relationships/hyperlink" Target="mailto:JTV.id@SD" TargetMode="External"/><Relationship Id="rId127" Type="http://schemas.openxmlformats.org/officeDocument/2006/relationships/hyperlink" Target="mailto:HistoryAsia.us@SD" TargetMode="External"/><Relationship Id="rId10" Type="http://schemas.openxmlformats.org/officeDocument/2006/relationships/hyperlink" Target="mailto:TransTV.id@SD" TargetMode="External"/><Relationship Id="rId31" Type="http://schemas.openxmlformats.org/officeDocument/2006/relationships/hyperlink" Target="mailto:NickJrAsia.sg@SD" TargetMode="External"/><Relationship Id="rId52" Type="http://schemas.openxmlformats.org/officeDocument/2006/relationships/hyperlink" Target="mailto:AniplusAsia.sg@SD" TargetMode="External"/><Relationship Id="rId73" Type="http://schemas.openxmlformats.org/officeDocument/2006/relationships/hyperlink" Target="mailto:GalaxyPremium.id@SD" TargetMode="External"/><Relationship Id="rId78" Type="http://schemas.openxmlformats.org/officeDocument/2006/relationships/hyperlink" Target="mailto:WSport.za@SD" TargetMode="External"/><Relationship Id="rId94" Type="http://schemas.openxmlformats.org/officeDocument/2006/relationships/hyperlink" Target="mailto:SCTV.id@SD" TargetMode="External"/><Relationship Id="rId99" Type="http://schemas.openxmlformats.org/officeDocument/2006/relationships/hyperlink" Target="mailto:MDTV.id@HD" TargetMode="External"/><Relationship Id="rId101" Type="http://schemas.openxmlformats.org/officeDocument/2006/relationships/hyperlink" Target="mailto:BeritaSatu.id@SD" TargetMode="External"/><Relationship Id="rId122" Type="http://schemas.openxmlformats.org/officeDocument/2006/relationships/hyperlink" Target="mailto:ChannelJowo.id@SD" TargetMode="External"/><Relationship Id="rId143" Type="http://schemas.openxmlformats.org/officeDocument/2006/relationships/hyperlink" Target="mailto:AsianFoodNetwork.sg@SD" TargetMode="External"/><Relationship Id="rId148" Type="http://schemas.openxmlformats.org/officeDocument/2006/relationships/hyperlink" Target="mailto:HGTVAsia.us@SD" TargetMode="External"/><Relationship Id="rId164" Type="http://schemas.openxmlformats.org/officeDocument/2006/relationships/hyperlink" Target="mailto:NewTVFinance.id@SD" TargetMode="External"/><Relationship Id="rId169" Type="http://schemas.openxmlformats.org/officeDocument/2006/relationships/hyperlink" Target="mailto:CCTV4Asia.cn@SD" TargetMode="External"/><Relationship Id="rId185" Type="http://schemas.openxmlformats.org/officeDocument/2006/relationships/hyperlink" Target="mailto:Thrill.hk@SD" TargetMode="External"/><Relationship Id="rId4" Type="http://schemas.openxmlformats.org/officeDocument/2006/relationships/hyperlink" Target="mailto:France24.fr@English" TargetMode="External"/><Relationship Id="rId9" Type="http://schemas.openxmlformats.org/officeDocument/2006/relationships/hyperlink" Target="mailto:CNNIndonesia.id@SD" TargetMode="External"/><Relationship Id="rId180" Type="http://schemas.openxmlformats.org/officeDocument/2006/relationships/hyperlink" Target="mailto:HBOAsia.sg@SD" TargetMode="External"/><Relationship Id="rId210" Type="http://schemas.openxmlformats.org/officeDocument/2006/relationships/hyperlink" Target="mailto:AlJazeera.qa@Arabic" TargetMode="External"/><Relationship Id="rId215" Type="http://schemas.openxmlformats.org/officeDocument/2006/relationships/hyperlink" Target="mailto:AlQuranAlKareemTV.sa@SD" TargetMode="External"/><Relationship Id="rId236" Type="http://schemas.openxmlformats.org/officeDocument/2006/relationships/hyperlink" Target="mailto:TheIndonesiaChannel.id@SD" TargetMode="External"/><Relationship Id="rId26" Type="http://schemas.openxmlformats.org/officeDocument/2006/relationships/hyperlink" Target="mailto:ChannelJowo.id@SD" TargetMode="External"/><Relationship Id="rId231" Type="http://schemas.openxmlformats.org/officeDocument/2006/relationships/hyperlink" Target="mailto:MDTV.id@HD" TargetMode="External"/><Relationship Id="rId47" Type="http://schemas.openxmlformats.org/officeDocument/2006/relationships/hyperlink" Target="mailto:HITS.sg@SD" TargetMode="External"/><Relationship Id="rId68" Type="http://schemas.openxmlformats.org/officeDocument/2006/relationships/hyperlink" Target="mailto:tvNMoviesAsia.hk@SD" TargetMode="External"/><Relationship Id="rId89" Type="http://schemas.openxmlformats.org/officeDocument/2006/relationships/hyperlink" Target="mailto:MAXStreak.id@SD" TargetMode="External"/><Relationship Id="rId112" Type="http://schemas.openxmlformats.org/officeDocument/2006/relationships/hyperlink" Target="mailto:Moji.id@SD" TargetMode="External"/><Relationship Id="rId133" Type="http://schemas.openxmlformats.org/officeDocument/2006/relationships/hyperlink" Target="mailto:NickelodeonAsia.sg@SD" TargetMode="External"/><Relationship Id="rId154" Type="http://schemas.openxmlformats.org/officeDocument/2006/relationships/hyperlink" Target="mailto:HITS.sg@SD" TargetMode="External"/><Relationship Id="rId175" Type="http://schemas.openxmlformats.org/officeDocument/2006/relationships/hyperlink" Target="mailto:ZhejiangInternationalChannel.cn@SD" TargetMode="External"/><Relationship Id="rId196" Type="http://schemas.openxmlformats.org/officeDocument/2006/relationships/hyperlink" Target="mailto:MAXSports.id@SD" TargetMode="External"/><Relationship Id="rId200" Type="http://schemas.openxmlformats.org/officeDocument/2006/relationships/hyperlink" Target="mailto:VoliTV.id@SD" TargetMode="External"/><Relationship Id="rId16" Type="http://schemas.openxmlformats.org/officeDocument/2006/relationships/hyperlink" Target="mailto:KompasTV.id@SD" TargetMode="External"/><Relationship Id="rId221" Type="http://schemas.openxmlformats.org/officeDocument/2006/relationships/hyperlink" Target="mailto:RodjaTV.id@SD" TargetMode="External"/><Relationship Id="rId37" Type="http://schemas.openxmlformats.org/officeDocument/2006/relationships/hyperlink" Target="mailto:MentariTV.id@SD" TargetMode="External"/><Relationship Id="rId58" Type="http://schemas.openxmlformats.org/officeDocument/2006/relationships/hyperlink" Target="mailto:ArirangTV.kr@SD" TargetMode="External"/><Relationship Id="rId79" Type="http://schemas.openxmlformats.org/officeDocument/2006/relationships/hyperlink" Target="mailto:HorizonSports.us@SD" TargetMode="External"/><Relationship Id="rId102" Type="http://schemas.openxmlformats.org/officeDocument/2006/relationships/hyperlink" Target="mailto:JakTV.id@SD" TargetMode="External"/><Relationship Id="rId123" Type="http://schemas.openxmlformats.org/officeDocument/2006/relationships/hyperlink" Target="mailto:CuriosityChannel.us@SD" TargetMode="External"/><Relationship Id="rId144" Type="http://schemas.openxmlformats.org/officeDocument/2006/relationships/hyperlink" Target="mailto:FashionTVAsia.fr@SD" TargetMode="External"/><Relationship Id="rId90" Type="http://schemas.openxmlformats.org/officeDocument/2006/relationships/hyperlink" Target="mailto:tvOne.id@SD" TargetMode="External"/><Relationship Id="rId165" Type="http://schemas.openxmlformats.org/officeDocument/2006/relationships/hyperlink" Target="mailto:NewTVComprehensive.id@SD" TargetMode="External"/><Relationship Id="rId186" Type="http://schemas.openxmlformats.org/officeDocument/2006/relationships/hyperlink" Target="mailto:HITSMovies.sg@SD" TargetMode="External"/><Relationship Id="rId211" Type="http://schemas.openxmlformats.org/officeDocument/2006/relationships/hyperlink" Target="mailto:France24.fr@English" TargetMode="External"/><Relationship Id="rId232" Type="http://schemas.openxmlformats.org/officeDocument/2006/relationships/hyperlink" Target="mailto:DiscoveryChannelSoutheastAsia.sg@SD" TargetMode="External"/><Relationship Id="rId27" Type="http://schemas.openxmlformats.org/officeDocument/2006/relationships/hyperlink" Target="mailto:CGTNDocumentary.cn@SD" TargetMode="External"/><Relationship Id="rId48" Type="http://schemas.openxmlformats.org/officeDocument/2006/relationships/hyperlink" Target="mailto:WarnerTVAsia.us@SD" TargetMode="External"/><Relationship Id="rId69" Type="http://schemas.openxmlformats.org/officeDocument/2006/relationships/hyperlink" Target="mailto:Galaxy.id@SD" TargetMode="External"/><Relationship Id="rId113" Type="http://schemas.openxmlformats.org/officeDocument/2006/relationships/hyperlink" Target="mailto:iNews.id@SD" TargetMode="External"/><Relationship Id="rId134" Type="http://schemas.openxmlformats.org/officeDocument/2006/relationships/hyperlink" Target="mailto:NickJrAsia.sg@SD" TargetMode="External"/><Relationship Id="rId80" Type="http://schemas.openxmlformats.org/officeDocument/2006/relationships/hyperlink" Target="mailto:CNBCAsia.sg@SD" TargetMode="External"/><Relationship Id="rId155" Type="http://schemas.openxmlformats.org/officeDocument/2006/relationships/hyperlink" Target="mailto:WarnerTVAsia.us@SD" TargetMode="External"/><Relationship Id="rId176" Type="http://schemas.openxmlformats.org/officeDocument/2006/relationships/hyperlink" Target="mailto:ONE.sg@SD" TargetMode="External"/><Relationship Id="rId197" Type="http://schemas.openxmlformats.org/officeDocument/2006/relationships/hyperlink" Target="mailto:SPOTV.id@SD" TargetMode="External"/><Relationship Id="rId201" Type="http://schemas.openxmlformats.org/officeDocument/2006/relationships/hyperlink" Target="mailto:NBATV.us@SD" TargetMode="External"/><Relationship Id="rId222" Type="http://schemas.openxmlformats.org/officeDocument/2006/relationships/hyperlink" Target="mailto:PhoenixInfoNewsChannel.hk@SD" TargetMode="External"/><Relationship Id="rId17" Type="http://schemas.openxmlformats.org/officeDocument/2006/relationships/hyperlink" Target="mailto:BTV.id@SD" TargetMode="External"/><Relationship Id="rId38" Type="http://schemas.openxmlformats.org/officeDocument/2006/relationships/hyperlink" Target="mailto:AsianFoodNetwork.sg@SD" TargetMode="External"/><Relationship Id="rId59" Type="http://schemas.openxmlformats.org/officeDocument/2006/relationships/hyperlink" Target="mailto:CitraDangdut.id@SD" TargetMode="External"/><Relationship Id="rId103" Type="http://schemas.openxmlformats.org/officeDocument/2006/relationships/hyperlink" Target="mailto:BTV.id@SD" TargetMode="External"/><Relationship Id="rId124" Type="http://schemas.openxmlformats.org/officeDocument/2006/relationships/hyperlink" Target="mailto:AnimalPlanetSoutheastAsia.sg@SD" TargetMode="External"/><Relationship Id="rId70" Type="http://schemas.openxmlformats.org/officeDocument/2006/relationships/hyperlink" Target="mailto:CinemaWorld.my@SD" TargetMode="External"/><Relationship Id="rId91" Type="http://schemas.openxmlformats.org/officeDocument/2006/relationships/hyperlink" Target="mailto:CNNIndonesia.id@SD" TargetMode="External"/><Relationship Id="rId145" Type="http://schemas.openxmlformats.org/officeDocument/2006/relationships/hyperlink" Target="mailto:TLCSoutheastAsia.sg@SD" TargetMode="External"/><Relationship Id="rId166" Type="http://schemas.openxmlformats.org/officeDocument/2006/relationships/hyperlink" Target="mailto:KPlus.sg@SD" TargetMode="External"/><Relationship Id="rId187" Type="http://schemas.openxmlformats.org/officeDocument/2006/relationships/hyperlink" Target="mailto:CelestialMoviesIndonesia.id@SD" TargetMode="External"/><Relationship Id="rId1" Type="http://schemas.openxmlformats.org/officeDocument/2006/relationships/hyperlink" Target="mailto:AXNAsia.sg@Indonesia" TargetMode="External"/><Relationship Id="rId212" Type="http://schemas.openxmlformats.org/officeDocument/2006/relationships/hyperlink" Target="mailto:NHKWorldJapan.jp@SD" TargetMode="External"/><Relationship Id="rId233" Type="http://schemas.openxmlformats.org/officeDocument/2006/relationships/hyperlink" Target="mailto:MAXKids.id@SD" TargetMode="External"/><Relationship Id="rId28" Type="http://schemas.openxmlformats.org/officeDocument/2006/relationships/hyperlink" Target="mailto:CrimePlusInvestigationAsia.sg@SD" TargetMode="External"/><Relationship Id="rId49" Type="http://schemas.openxmlformats.org/officeDocument/2006/relationships/hyperlink" Target="mailto:ROCKEntertainment.sg@SD" TargetMode="External"/><Relationship Id="rId114" Type="http://schemas.openxmlformats.org/officeDocument/2006/relationships/hyperlink" Target="mailto:SindoNewsTV.id@SD" TargetMode="External"/><Relationship Id="rId60" Type="http://schemas.openxmlformats.org/officeDocument/2006/relationships/hyperlink" Target="mailto:ONE.sg@SD" TargetMode="External"/><Relationship Id="rId81" Type="http://schemas.openxmlformats.org/officeDocument/2006/relationships/hyperlink" Target="mailto:CNA.sg@SD" TargetMode="External"/><Relationship Id="rId135" Type="http://schemas.openxmlformats.org/officeDocument/2006/relationships/hyperlink" Target="mailto:CartoonNetworkAsia.sg@SD" TargetMode="External"/><Relationship Id="rId156" Type="http://schemas.openxmlformats.org/officeDocument/2006/relationships/hyperlink" Target="mailto:TV5MondeAsia.fr@SD" TargetMode="External"/><Relationship Id="rId177" Type="http://schemas.openxmlformats.org/officeDocument/2006/relationships/hyperlink" Target="mailto:ChineseDrama.hk@SD" TargetMode="External"/><Relationship Id="rId198" Type="http://schemas.openxmlformats.org/officeDocument/2006/relationships/hyperlink" Target="mailto:SPOTV2.id@SD" TargetMode="External"/><Relationship Id="rId202" Type="http://schemas.openxmlformats.org/officeDocument/2006/relationships/hyperlink" Target="mailto:ChampionsGolf2.id@HD" TargetMode="External"/><Relationship Id="rId223" Type="http://schemas.openxmlformats.org/officeDocument/2006/relationships/hyperlink" Target="mailto:MTATV.id@SD" TargetMode="External"/><Relationship Id="rId18" Type="http://schemas.openxmlformats.org/officeDocument/2006/relationships/hyperlink" Target="mailto:LejelHomeShoppingLive.id@SD" TargetMode="External"/><Relationship Id="rId39" Type="http://schemas.openxmlformats.org/officeDocument/2006/relationships/hyperlink" Target="mailto:FashionTVAsia.fr@SD" TargetMode="External"/><Relationship Id="rId50" Type="http://schemas.openxmlformats.org/officeDocument/2006/relationships/hyperlink" Target="mailto:tvNAsia.hk@SD" TargetMode="External"/><Relationship Id="rId104" Type="http://schemas.openxmlformats.org/officeDocument/2006/relationships/hyperlink" Target="mailto:RajawaliTV.id@SD" TargetMode="External"/><Relationship Id="rId125" Type="http://schemas.openxmlformats.org/officeDocument/2006/relationships/hyperlink" Target="mailto:CrimePlusInvestigationAsia.sg@SD" TargetMode="External"/><Relationship Id="rId146" Type="http://schemas.openxmlformats.org/officeDocument/2006/relationships/hyperlink" Target="mailto:MusikIndonesia.id@SD" TargetMode="External"/><Relationship Id="rId167" Type="http://schemas.openxmlformats.org/officeDocument/2006/relationships/hyperlink" Target="mailto:DuniaLain.id@SD" TargetMode="External"/><Relationship Id="rId188" Type="http://schemas.openxmlformats.org/officeDocument/2006/relationships/hyperlink" Target="mailto:ZeeBioskop.id@SD" TargetMode="External"/><Relationship Id="rId71" Type="http://schemas.openxmlformats.org/officeDocument/2006/relationships/hyperlink" Target="mailto:Flik.id@SD" TargetMode="External"/><Relationship Id="rId92" Type="http://schemas.openxmlformats.org/officeDocument/2006/relationships/hyperlink" Target="mailto:TransTV.id@SD" TargetMode="External"/><Relationship Id="rId213" Type="http://schemas.openxmlformats.org/officeDocument/2006/relationships/hyperlink" Target="mailto:DW.de@English" TargetMode="External"/><Relationship Id="rId234" Type="http://schemas.openxmlformats.org/officeDocument/2006/relationships/hyperlink" Target="mailto:ROCKAction.sg@SD" TargetMode="External"/><Relationship Id="rId2" Type="http://schemas.openxmlformats.org/officeDocument/2006/relationships/hyperlink" Target="mailto:CNNInternational.us@AsiaPacific" TargetMode="External"/><Relationship Id="rId29" Type="http://schemas.openxmlformats.org/officeDocument/2006/relationships/hyperlink" Target="mailto:DaVinciAsia.de@SD" TargetMode="External"/><Relationship Id="rId40" Type="http://schemas.openxmlformats.org/officeDocument/2006/relationships/hyperlink" Target="mailto:TLCSoutheastAsia.sg@SD" TargetMode="External"/><Relationship Id="rId115" Type="http://schemas.openxmlformats.org/officeDocument/2006/relationships/hyperlink" Target="mailto:JawaPosTV.id@SD" TargetMode="External"/><Relationship Id="rId136" Type="http://schemas.openxmlformats.org/officeDocument/2006/relationships/hyperlink" Target="mailto:DuniaAnak.id@SD" TargetMode="External"/><Relationship Id="rId157" Type="http://schemas.openxmlformats.org/officeDocument/2006/relationships/hyperlink" Target="mailto:AXNAsia.sg@Indonesia" TargetMode="External"/><Relationship Id="rId178" Type="http://schemas.openxmlformats.org/officeDocument/2006/relationships/hyperlink" Target="mailto:PhoenixChineseChannel.hk@SD" TargetMode="External"/><Relationship Id="rId61" Type="http://schemas.openxmlformats.org/officeDocument/2006/relationships/hyperlink" Target="mailto:HBOAsia.sg@SD" TargetMode="External"/><Relationship Id="rId82" Type="http://schemas.openxmlformats.org/officeDocument/2006/relationships/hyperlink" Target="mailto:AlJazeera.qa@Arabic" TargetMode="External"/><Relationship Id="rId199" Type="http://schemas.openxmlformats.org/officeDocument/2006/relationships/hyperlink" Target="mailto:FightSports.us@SD" TargetMode="External"/><Relationship Id="rId203" Type="http://schemas.openxmlformats.org/officeDocument/2006/relationships/hyperlink" Target="mailto:ChampionsGolf1.id@HD" TargetMode="External"/><Relationship Id="rId19" Type="http://schemas.openxmlformats.org/officeDocument/2006/relationships/hyperlink" Target="mailto:RajawaliTV.id@SD" TargetMode="External"/><Relationship Id="rId224" Type="http://schemas.openxmlformats.org/officeDocument/2006/relationships/hyperlink" Target="mailto:DMITV.id@SD" TargetMode="External"/><Relationship Id="rId30" Type="http://schemas.openxmlformats.org/officeDocument/2006/relationships/hyperlink" Target="mailto:NickelodeonAsia.sg@SD" TargetMode="External"/><Relationship Id="rId105" Type="http://schemas.openxmlformats.org/officeDocument/2006/relationships/hyperlink" Target="mailto:IDXChannel.id@SD" TargetMode="External"/><Relationship Id="rId126" Type="http://schemas.openxmlformats.org/officeDocument/2006/relationships/hyperlink" Target="mailto:iPanda.cn@SD" TargetMode="External"/><Relationship Id="rId147" Type="http://schemas.openxmlformats.org/officeDocument/2006/relationships/hyperlink" Target="mailto:Prambors.id@SD" TargetMode="External"/><Relationship Id="rId168" Type="http://schemas.openxmlformats.org/officeDocument/2006/relationships/hyperlink" Target="mailto:ABCAustralia.au@SD" TargetMode="External"/><Relationship Id="rId51" Type="http://schemas.openxmlformats.org/officeDocument/2006/relationships/hyperlink" Target="mailto:KBSWorld.kr@SD" TargetMode="External"/><Relationship Id="rId72" Type="http://schemas.openxmlformats.org/officeDocument/2006/relationships/hyperlink" Target="mailto:IMC.id@SD" TargetMode="External"/><Relationship Id="rId93" Type="http://schemas.openxmlformats.org/officeDocument/2006/relationships/hyperlink" Target="mailto:Trans7.id@SD" TargetMode="External"/><Relationship Id="rId189" Type="http://schemas.openxmlformats.org/officeDocument/2006/relationships/hyperlink" Target="mailto:tvNMoviesAsia.hk@SD" TargetMode="External"/><Relationship Id="rId3" Type="http://schemas.openxmlformats.org/officeDocument/2006/relationships/hyperlink" Target="mailto:BloombergTV.us@Asia" TargetMode="External"/><Relationship Id="rId214" Type="http://schemas.openxmlformats.org/officeDocument/2006/relationships/hyperlink" Target="mailto:TVBSNews.tw@SD" TargetMode="External"/><Relationship Id="rId235" Type="http://schemas.openxmlformats.org/officeDocument/2006/relationships/hyperlink" Target="mailto:DMITV.id@SD" TargetMode="External"/><Relationship Id="rId116" Type="http://schemas.openxmlformats.org/officeDocument/2006/relationships/hyperlink" Target="mailto:CNBCIndonesia.id@SD" TargetMode="External"/><Relationship Id="rId137" Type="http://schemas.openxmlformats.org/officeDocument/2006/relationships/hyperlink" Target="mailto:MoonbugKids.uk@SD" TargetMode="External"/><Relationship Id="rId158" Type="http://schemas.openxmlformats.org/officeDocument/2006/relationships/hyperlink" Target="mailto:HITSNOW.sg@SD" TargetMode="External"/><Relationship Id="rId20" Type="http://schemas.openxmlformats.org/officeDocument/2006/relationships/hyperlink" Target="mailto:IDXChannel.id@SD" TargetMode="External"/><Relationship Id="rId41" Type="http://schemas.openxmlformats.org/officeDocument/2006/relationships/hyperlink" Target="mailto:MusikIndonesia.id@SD" TargetMode="External"/><Relationship Id="rId62" Type="http://schemas.openxmlformats.org/officeDocument/2006/relationships/hyperlink" Target="mailto:HBOSignatureAsia.sg@SD" TargetMode="External"/><Relationship Id="rId83" Type="http://schemas.openxmlformats.org/officeDocument/2006/relationships/hyperlink" Target="mailto:NHKWorldJapan.jp@SD" TargetMode="External"/><Relationship Id="rId179" Type="http://schemas.openxmlformats.org/officeDocument/2006/relationships/hyperlink" Target="mailto:StudioUniversalLatinAmerica.us@Brazil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hyperlink" Target="https://home.ntlab.id/guides/indihometv2.xml" TargetMode="External"/><Relationship Id="rId1" Type="http://schemas.openxmlformats.org/officeDocument/2006/relationships/hyperlink" Target="https://home.ntlab.id/guides/indihometv1.xml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CartoonitoAsia.sg@SD" TargetMode="External"/><Relationship Id="rId2" Type="http://schemas.openxmlformats.org/officeDocument/2006/relationships/hyperlink" Target="mailto:TheIndonesiaChannel.id@SD" TargetMode="External"/><Relationship Id="rId1" Type="http://schemas.openxmlformats.org/officeDocument/2006/relationships/hyperlink" Target="mailto:TheIndonesiaChannel.id@SD" TargetMode="Externa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images.maxstream.tv/sites/default/files/entry/0_bhma6pov/landscape_carousel_hdpi.webp" TargetMode="Externa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https://images.indihometv.com/images/channels/imageCir_180x180_CLMAXStreak_2026_01_30_13_56_10.jpg" TargetMode="External"/><Relationship Id="rId21" Type="http://schemas.openxmlformats.org/officeDocument/2006/relationships/hyperlink" Target="https://i.ibb.co/0mLXF0f/useemozaik.png" TargetMode="External"/><Relationship Id="rId42" Type="http://schemas.openxmlformats.org/officeDocument/2006/relationships/hyperlink" Target="https://images.indihometv.com/images/channels/image_ch_aniplus.png" TargetMode="External"/><Relationship Id="rId63" Type="http://schemas.openxmlformats.org/officeDocument/2006/relationships/hyperlink" Target="https://images.indihometv.com/images/channels/image_ch_cgtndocumentary.png" TargetMode="External"/><Relationship Id="rId84" Type="http://schemas.openxmlformats.org/officeDocument/2006/relationships/hyperlink" Target="https://images.indihometv.com/images/channels/image_ch_fightsport.png" TargetMode="External"/><Relationship Id="rId138" Type="http://schemas.openxmlformats.org/officeDocument/2006/relationships/hyperlink" Target="https://images.indihometv.com/images/channels/image_ch_nickjr.png" TargetMode="External"/><Relationship Id="rId159" Type="http://schemas.openxmlformats.org/officeDocument/2006/relationships/hyperlink" Target="https://images.indihometv.com/images/channels/image_ch_tvbsnews.png" TargetMode="External"/><Relationship Id="rId170" Type="http://schemas.openxmlformats.org/officeDocument/2006/relationships/hyperlink" Target="https://images.indihometv.com/images/channels/image_ch_zeebioskop.png" TargetMode="External"/><Relationship Id="rId107" Type="http://schemas.openxmlformats.org/officeDocument/2006/relationships/hyperlink" Target="https://images.indihometv.com/images/channels/image_ch_jaktv.png" TargetMode="External"/><Relationship Id="rId11" Type="http://schemas.openxmlformats.org/officeDocument/2006/relationships/hyperlink" Target="https://www.indihometv.com/assets/images/channel/channel_temp.png" TargetMode="External"/><Relationship Id="rId32" Type="http://schemas.openxmlformats.org/officeDocument/2006/relationships/hyperlink" Target="https://images.indihometv.com/logo_seru_big.png" TargetMode="External"/><Relationship Id="rId53" Type="http://schemas.openxmlformats.org/officeDocument/2006/relationships/hyperlink" Target="https://images.indihometv.com/images/channels/image_ch_bioskopindonesia.png" TargetMode="External"/><Relationship Id="rId74" Type="http://schemas.openxmlformats.org/officeDocument/2006/relationships/hyperlink" Target="https://images.indihometv.com/images/channels/image_ch_daaitv.png" TargetMode="External"/><Relationship Id="rId128" Type="http://schemas.openxmlformats.org/officeDocument/2006/relationships/hyperlink" Target="https://images.indihometv.com/images/channels/image_ch_musikindonesia.png" TargetMode="External"/><Relationship Id="rId149" Type="http://schemas.openxmlformats.org/officeDocument/2006/relationships/hyperlink" Target="https://images.indihometv.com/images/channels/image_ch_shenzentv.png" TargetMode="External"/><Relationship Id="rId5" Type="http://schemas.openxmlformats.org/officeDocument/2006/relationships/hyperlink" Target="https://yt3.googleusercontent.com/WKRq04d0GELQDjNx0U_oGykR8D3Bk0FQvcslMkMxhSsj_9wfa1cWz7f9NBlTKqwN3rzO2CQjboU=s160-c-k-c0x00ffffff-no-rj" TargetMode="External"/><Relationship Id="rId95" Type="http://schemas.openxmlformats.org/officeDocument/2006/relationships/hyperlink" Target="https://images.indihometv.com/images/channels/image_ch_history.png" TargetMode="External"/><Relationship Id="rId160" Type="http://schemas.openxmlformats.org/officeDocument/2006/relationships/hyperlink" Target="https://images.indihometv.com/images/channels/image_ch_tvnmovies.png" TargetMode="External"/><Relationship Id="rId22" Type="http://schemas.openxmlformats.org/officeDocument/2006/relationships/hyperlink" Target="https://images.indihometv.com/logo_mycinema_ver1.png" TargetMode="External"/><Relationship Id="rId43" Type="http://schemas.openxmlformats.org/officeDocument/2006/relationships/hyperlink" Target="https://images.indihometv.com/images/channels/imageCir_180x180-CL-AntaraTV_2025_10_24_15_50_32.jpg" TargetMode="External"/><Relationship Id="rId64" Type="http://schemas.openxmlformats.org/officeDocument/2006/relationships/hyperlink" Target="https://images.indihometv.com/images/channels/image_ch_chinesedrama.png" TargetMode="External"/><Relationship Id="rId118" Type="http://schemas.openxmlformats.org/officeDocument/2006/relationships/hyperlink" Target="https://images.indihometv.com/images/channels/imageCir_180_x_180__2026_02_12_15_17_01.png" TargetMode="External"/><Relationship Id="rId139" Type="http://schemas.openxmlformats.org/officeDocument/2006/relationships/hyperlink" Target="https://images.indihometv.com/images/channels/image_ch_nusantaratv.png" TargetMode="External"/><Relationship Id="rId85" Type="http://schemas.openxmlformats.org/officeDocument/2006/relationships/hyperlink" Target="https://images.indihometv.com/images/channels/image_ch_flik.png" TargetMode="External"/><Relationship Id="rId150" Type="http://schemas.openxmlformats.org/officeDocument/2006/relationships/hyperlink" Target="https://images.indihometv.com/images/channels/imageCir_Sinpo-1800x1800_2025_11_06_13_04_13.jpg" TargetMode="External"/><Relationship Id="rId171" Type="http://schemas.openxmlformats.org/officeDocument/2006/relationships/hyperlink" Target="https://images.indihometv.com/images/channels/image_ch_zhejiangtv.png" TargetMode="External"/><Relationship Id="rId12" Type="http://schemas.openxmlformats.org/officeDocument/2006/relationships/hyperlink" Target="https://images.indihometv.com/logo_eatgo_big1.png" TargetMode="External"/><Relationship Id="rId33" Type="http://schemas.openxmlformats.org/officeDocument/2006/relationships/hyperlink" Target="https://images.indihometv.com/logo_sgem_big.png" TargetMode="External"/><Relationship Id="rId108" Type="http://schemas.openxmlformats.org/officeDocument/2006/relationships/hyperlink" Target="https://images.indihometv.com/images/channels/image_ch_jawapos.png" TargetMode="External"/><Relationship Id="rId129" Type="http://schemas.openxmlformats.org/officeDocument/2006/relationships/hyperlink" Target="https://images.indihometv.com/images/channels/image_ch_mykidz.png" TargetMode="External"/><Relationship Id="rId54" Type="http://schemas.openxmlformats.org/officeDocument/2006/relationships/hyperlink" Target="https://images.indihometv.com/images/channels/image_ch_bloomberg.png" TargetMode="External"/><Relationship Id="rId75" Type="http://schemas.openxmlformats.org/officeDocument/2006/relationships/hyperlink" Target="https://images.indihometv.com/images/channels/image_ch_davinci.png" TargetMode="External"/><Relationship Id="rId96" Type="http://schemas.openxmlformats.org/officeDocument/2006/relationships/hyperlink" Target="https://images.indihometv.com/images/channels/image_ch_hits.png" TargetMode="External"/><Relationship Id="rId140" Type="http://schemas.openxmlformats.org/officeDocument/2006/relationships/hyperlink" Target="https://images.indihometv.com/images/channels/image_ch_moji.png" TargetMode="External"/><Relationship Id="rId161" Type="http://schemas.openxmlformats.org/officeDocument/2006/relationships/hyperlink" Target="https://images.indihometv.com/images/channels/image_ch_tv5monde.png" TargetMode="External"/><Relationship Id="rId1" Type="http://schemas.openxmlformats.org/officeDocument/2006/relationships/hyperlink" Target="https://images.indihometv.com/logo_useesports2_ver1.png" TargetMode="External"/><Relationship Id="rId6" Type="http://schemas.openxmlformats.org/officeDocument/2006/relationships/hyperlink" Target="https://divign0fdw3sv.cloudfront.net/Images/ChannelLogo/contenthub/503_144.png" TargetMode="External"/><Relationship Id="rId23" Type="http://schemas.openxmlformats.org/officeDocument/2006/relationships/hyperlink" Target="https://images.indihometv.com/logo_new-mycinemaasia_big.png" TargetMode="External"/><Relationship Id="rId28" Type="http://schemas.openxmlformats.org/officeDocument/2006/relationships/hyperlink" Target="https://images.indihometv.com/logo_pandatv_big.png" TargetMode="External"/><Relationship Id="rId49" Type="http://schemas.openxmlformats.org/officeDocument/2006/relationships/hyperlink" Target="https://images.indihometv.com/images/channels/imageCir_180x180_BBC_NEWS_2025_12_03_10_30_32.jpg" TargetMode="External"/><Relationship Id="rId114" Type="http://schemas.openxmlformats.org/officeDocument/2006/relationships/hyperlink" Target="https://images.indihometv.com/images/channels/image_ch_lifetime.png" TargetMode="External"/><Relationship Id="rId119" Type="http://schemas.openxmlformats.org/officeDocument/2006/relationships/hyperlink" Target="https://images.indihometv.com/images/channels/image_ch_mentaritv.png" TargetMode="External"/><Relationship Id="rId44" Type="http://schemas.openxmlformats.org/officeDocument/2006/relationships/hyperlink" Target="https://images.indihometv.com/images/channels/image_ch_antv.png" TargetMode="External"/><Relationship Id="rId60" Type="http://schemas.openxmlformats.org/officeDocument/2006/relationships/hyperlink" Target="https://images.indihometv.com/images/channels/image_ch_citradrama.png" TargetMode="External"/><Relationship Id="rId65" Type="http://schemas.openxmlformats.org/officeDocument/2006/relationships/hyperlink" Target="https://images.indihometv.com/images/channels/image_ch_cinemaworld.png" TargetMode="External"/><Relationship Id="rId81" Type="http://schemas.openxmlformats.org/officeDocument/2006/relationships/hyperlink" Target="https://images.indihometv.com/images/channels/image_ch_dwtv.png" TargetMode="External"/><Relationship Id="rId86" Type="http://schemas.openxmlformats.org/officeDocument/2006/relationships/hyperlink" Target="https://images.indihometv.com/images/channels/image_ch_france24.png" TargetMode="External"/><Relationship Id="rId130" Type="http://schemas.openxmlformats.org/officeDocument/2006/relationships/hyperlink" Target="https://images.indihometv.com/images/channels/image_ch_nbatv.png" TargetMode="External"/><Relationship Id="rId135" Type="http://schemas.openxmlformats.org/officeDocument/2006/relationships/hyperlink" Target="https://images.indihometv.com/images/channels/image_ch_newtvvariety.png" TargetMode="External"/><Relationship Id="rId151" Type="http://schemas.openxmlformats.org/officeDocument/2006/relationships/hyperlink" Target="https://images.indihometv.com/images/channels/image_ch_sony_one.png" TargetMode="External"/><Relationship Id="rId156" Type="http://schemas.openxmlformats.org/officeDocument/2006/relationships/hyperlink" Target="https://images.indihometv.com/images/channels/image_ch_trans7.png" TargetMode="External"/><Relationship Id="rId172" Type="http://schemas.openxmlformats.org/officeDocument/2006/relationships/hyperlink" Target="https://store-assets.jubelio.com/webstore-v2/images/jstorev2/t2d9d6gn8jnib/1741679892531_70281a6e-8880-4ce4-8a1e-8cebd085f2f2.png" TargetMode="External"/><Relationship Id="rId13" Type="http://schemas.openxmlformats.org/officeDocument/2006/relationships/hyperlink" Target="https://images.indihometv.com/logo_idx_big.png" TargetMode="External"/><Relationship Id="rId18" Type="http://schemas.openxmlformats.org/officeDocument/2006/relationships/hyperlink" Target="https://images.indihometv.com/logo_lingua_big.png" TargetMode="External"/><Relationship Id="rId39" Type="http://schemas.openxmlformats.org/officeDocument/2006/relationships/hyperlink" Target="https://images.indihometv.com/images/channels/image_ch_alquranalkareem.png" TargetMode="External"/><Relationship Id="rId109" Type="http://schemas.openxmlformats.org/officeDocument/2006/relationships/hyperlink" Target="https://images.indihometv.com/images/channels/image_ch_jtv.png" TargetMode="External"/><Relationship Id="rId34" Type="http://schemas.openxmlformats.org/officeDocument/2006/relationships/hyperlink" Target="https://images.indihometv.com/logo_techstorm_ver1.png" TargetMode="External"/><Relationship Id="rId50" Type="http://schemas.openxmlformats.org/officeDocument/2006/relationships/hyperlink" Target="https://images.indihometv.com/images/channels/image_ch_spotv.png" TargetMode="External"/><Relationship Id="rId55" Type="http://schemas.openxmlformats.org/officeDocument/2006/relationships/hyperlink" Target="https://images.indihometv.com/images/channels/image_ch_rockent.png" TargetMode="External"/><Relationship Id="rId76" Type="http://schemas.openxmlformats.org/officeDocument/2006/relationships/hyperlink" Target="https://images.indihometv.com/images/channels/image_ch_discovery.png" TargetMode="External"/><Relationship Id="rId97" Type="http://schemas.openxmlformats.org/officeDocument/2006/relationships/hyperlink" Target="https://images.indihometv.com/images/channels/image_ch_hitsmovies.png" TargetMode="External"/><Relationship Id="rId104" Type="http://schemas.openxmlformats.org/officeDocument/2006/relationships/hyperlink" Target="https://images.indihometv.com/logo_indonesiana_ver1.png" TargetMode="External"/><Relationship Id="rId120" Type="http://schemas.openxmlformats.org/officeDocument/2006/relationships/hyperlink" Target="https://images.indihometv.com/images/channels/image_ch_metrotv.png" TargetMode="External"/><Relationship Id="rId125" Type="http://schemas.openxmlformats.org/officeDocument/2006/relationships/hyperlink" Target="https://images.indihometv.com/images/channels/image_ch_mta.png" TargetMode="External"/><Relationship Id="rId141" Type="http://schemas.openxmlformats.org/officeDocument/2006/relationships/hyperlink" Target="https://images.indihometv.com/images/channels/image_ch_phoenixch.png" TargetMode="External"/><Relationship Id="rId146" Type="http://schemas.openxmlformats.org/officeDocument/2006/relationships/hyperlink" Target="https://images.indihometv.com/images/channels/image_ch_rtv.png" TargetMode="External"/><Relationship Id="rId167" Type="http://schemas.openxmlformats.org/officeDocument/2006/relationships/hyperlink" Target="https://images.indihometv.com/images/channels/imageCir_180x180_CLMAXSReels_2026_01_31_00_37_47.jpg" TargetMode="External"/><Relationship Id="rId7" Type="http://schemas.openxmlformats.org/officeDocument/2006/relationships/hyperlink" Target="https://picture.dens.tv/wp/img/tvchannels_v1/340x160/1725851535_tvchannels_v1.jpg" TargetMode="External"/><Relationship Id="rId71" Type="http://schemas.openxmlformats.org/officeDocument/2006/relationships/hyperlink" Target="https://images.indihometv.com/images/channels/image_ch_cnninter.png" TargetMode="External"/><Relationship Id="rId92" Type="http://schemas.openxmlformats.org/officeDocument/2006/relationships/hyperlink" Target="https://images.indihometv.com/images/channels/imageCir_HBO-Hits-180x180_2025_11_05_11_23_20.jpg" TargetMode="External"/><Relationship Id="rId162" Type="http://schemas.openxmlformats.org/officeDocument/2006/relationships/hyperlink" Target="https://images.indihometv.com/images/channels/image_ch_tvn.png" TargetMode="External"/><Relationship Id="rId2" Type="http://schemas.openxmlformats.org/officeDocument/2006/relationships/hyperlink" Target="https://thumbor.prod.vidiocdn.com/5RyqXQzhOVE-gf2Y_IG1e5heJV8=/230x230/filters:quality(70)/vidio-web-prod-livestreaming/uploads/livestreaming/square_image/18189/8180b2.png" TargetMode="External"/><Relationship Id="rId29" Type="http://schemas.openxmlformats.org/officeDocument/2006/relationships/hyperlink" Target="https://images.indihometv.com/logo_paramount_ver1.png" TargetMode="External"/><Relationship Id="rId24" Type="http://schemas.openxmlformats.org/officeDocument/2006/relationships/hyperlink" Target="https://images.indihometv.com/logo_myfamily_ver2.png" TargetMode="External"/><Relationship Id="rId40" Type="http://schemas.openxmlformats.org/officeDocument/2006/relationships/hyperlink" Target="https://images.indihometv.com/images/channels/image_ch_animal%20planet.png" TargetMode="External"/><Relationship Id="rId45" Type="http://schemas.openxmlformats.org/officeDocument/2006/relationships/hyperlink" Target="https://images.indihometv.com/images/channels/image_ch_arirang.png" TargetMode="External"/><Relationship Id="rId66" Type="http://schemas.openxmlformats.org/officeDocument/2006/relationships/hyperlink" Target="https://images.indihometv.com/images/channels/imageCir_Cinemax-180x180_2025_11_05_13_11_15.jpg" TargetMode="External"/><Relationship Id="rId87" Type="http://schemas.openxmlformats.org/officeDocument/2006/relationships/hyperlink" Target="https://images.indihometv.com/images/channels/image_ch_galaxy.png" TargetMode="External"/><Relationship Id="rId110" Type="http://schemas.openxmlformats.org/officeDocument/2006/relationships/hyperlink" Target="https://images.indihometv.com/images/channels/image_ch_kbsworld.png" TargetMode="External"/><Relationship Id="rId115" Type="http://schemas.openxmlformats.org/officeDocument/2006/relationships/hyperlink" Target="https://images.indihometv.com/images/channels/image_ch_lovenature.png" TargetMode="External"/><Relationship Id="rId131" Type="http://schemas.openxmlformats.org/officeDocument/2006/relationships/hyperlink" Target="https://images.indihometv.com/images/channels/imageCir_MDTV-180x180-CL_2025_10_08_13_01_28.jpg" TargetMode="External"/><Relationship Id="rId136" Type="http://schemas.openxmlformats.org/officeDocument/2006/relationships/hyperlink" Target="https://images.indihometv.com/images/channels/image_ch_nhkworldjapan.png" TargetMode="External"/><Relationship Id="rId157" Type="http://schemas.openxmlformats.org/officeDocument/2006/relationships/hyperlink" Target="https://images.indihometv.com/images/channels/image_ch_transtv.png" TargetMode="External"/><Relationship Id="rId61" Type="http://schemas.openxmlformats.org/officeDocument/2006/relationships/hyperlink" Target="https://images.indihometv.com/images/channels/image_ch_cartoonnetwork.png" TargetMode="External"/><Relationship Id="rId82" Type="http://schemas.openxmlformats.org/officeDocument/2006/relationships/hyperlink" Target="https://images.indihometv.com/images/channels/image_ch_euronews.png" TargetMode="External"/><Relationship Id="rId152" Type="http://schemas.openxmlformats.org/officeDocument/2006/relationships/hyperlink" Target="https://images.indihometv.com/images/channels/image_ch_studiouniversal.png" TargetMode="External"/><Relationship Id="rId173" Type="http://schemas.openxmlformats.org/officeDocument/2006/relationships/table" Target="../tables/table7.xml"/><Relationship Id="rId19" Type="http://schemas.openxmlformats.org/officeDocument/2006/relationships/hyperlink" Target="https://www.indihometv.com/assets/images/channel/channel_temp.png" TargetMode="External"/><Relationship Id="rId14" Type="http://schemas.openxmlformats.org/officeDocument/2006/relationships/hyperlink" Target="https://images.indihometv.com/logo_ikonser_big.png" TargetMode="External"/><Relationship Id="rId30" Type="http://schemas.openxmlformats.org/officeDocument/2006/relationships/hyperlink" Target="https://images.indihometv.com/logo_rri_big1.png" TargetMode="External"/><Relationship Id="rId35" Type="http://schemas.openxmlformats.org/officeDocument/2006/relationships/hyperlink" Target="https://images.indihometv.com/logo_trtworld_big.png" TargetMode="External"/><Relationship Id="rId56" Type="http://schemas.openxmlformats.org/officeDocument/2006/relationships/hyperlink" Target="https://images.indihometv.com/images/channels/image_ch_rockaction.png" TargetMode="External"/><Relationship Id="rId77" Type="http://schemas.openxmlformats.org/officeDocument/2006/relationships/hyperlink" Target="https://images.indihometv.com/images/channels/image_ch_discoveryasia.png" TargetMode="External"/><Relationship Id="rId100" Type="http://schemas.openxmlformats.org/officeDocument/2006/relationships/hyperlink" Target="https://images.indihometv.com/images/channels/image_ch_horizonsport.png" TargetMode="External"/><Relationship Id="rId105" Type="http://schemas.openxmlformats.org/officeDocument/2006/relationships/hyperlink" Target="https://images.indihometv.com/images/channels/image_ch_indosiar.png" TargetMode="External"/><Relationship Id="rId126" Type="http://schemas.openxmlformats.org/officeDocument/2006/relationships/hyperlink" Target="https://images.indihometv.com/images/channels/image_ch_tvmu.png" TargetMode="External"/><Relationship Id="rId147" Type="http://schemas.openxmlformats.org/officeDocument/2006/relationships/hyperlink" Target="https://images.indihometv.com/images/channels/imageCir_180x180-CL-RT_2025_10_24_15_49_57.jpg" TargetMode="External"/><Relationship Id="rId168" Type="http://schemas.openxmlformats.org/officeDocument/2006/relationships/hyperlink" Target="https://images.indihometv.com/images/channels/imageCir_180x180_CLMAXSports_2026_01_31_00_39_38.jpg" TargetMode="External"/><Relationship Id="rId8" Type="http://schemas.openxmlformats.org/officeDocument/2006/relationships/hyperlink" Target="https://www.indihometv.com/assets/images/channel/channel_temp.png" TargetMode="External"/><Relationship Id="rId51" Type="http://schemas.openxmlformats.org/officeDocument/2006/relationships/hyperlink" Target="https://images.indihometv.com/images/channels/image_ch_spotv2.png" TargetMode="External"/><Relationship Id="rId72" Type="http://schemas.openxmlformats.org/officeDocument/2006/relationships/hyperlink" Target="https://images.indihometv.com/images/channels/image_ch_crime+investigation.png" TargetMode="External"/><Relationship Id="rId93" Type="http://schemas.openxmlformats.org/officeDocument/2006/relationships/hyperlink" Target="https://images.indihometv.com/images/channels/imageCir_HBO-Signature-180x180_2025_11_05_12_57_49.jpg" TargetMode="External"/><Relationship Id="rId98" Type="http://schemas.openxmlformats.org/officeDocument/2006/relationships/hyperlink" Target="https://images.indihometv.com/images/channels/image_ch_hitsnow.png" TargetMode="External"/><Relationship Id="rId121" Type="http://schemas.openxmlformats.org/officeDocument/2006/relationships/hyperlink" Target="https://images.indihometv.com/images/channels/image_ch_sindonews.png" TargetMode="External"/><Relationship Id="rId142" Type="http://schemas.openxmlformats.org/officeDocument/2006/relationships/hyperlink" Target="https://images.indihometv.com/images/channels/image_ch_phoenixinfonews.png" TargetMode="External"/><Relationship Id="rId163" Type="http://schemas.openxmlformats.org/officeDocument/2006/relationships/hyperlink" Target="https://images.indihometv.com/images/channels/image_ch_tvone.png" TargetMode="External"/><Relationship Id="rId3" Type="http://schemas.openxmlformats.org/officeDocument/2006/relationships/hyperlink" Target="https://thumbor.prod.vidiocdn.com/iASUDB26jxl_lTZyJTM2mmr3fQY=/230x230/filters:quality(70)/vidio-web-prod-livestreaming/uploads/livestreaming/square_image/18190/541269.png" TargetMode="External"/><Relationship Id="rId25" Type="http://schemas.openxmlformats.org/officeDocument/2006/relationships/hyperlink" Target="https://images.indihometv.com/logo_natgeo_ver1.png" TargetMode="External"/><Relationship Id="rId46" Type="http://schemas.openxmlformats.org/officeDocument/2006/relationships/hyperlink" Target="https://images.indihometv.com/images/channels/image_ch_atv.png" TargetMode="External"/><Relationship Id="rId67" Type="http://schemas.openxmlformats.org/officeDocument/2006/relationships/hyperlink" Target="https://images.indihometv.com/images/channels/image_ch_citradangdut.png" TargetMode="External"/><Relationship Id="rId116" Type="http://schemas.openxmlformats.org/officeDocument/2006/relationships/hyperlink" Target="https://images.indihometv.com/images/channels/imageCir_180x180_CLMAXSEats_2026_01_30_13_57_28.jpg" TargetMode="External"/><Relationship Id="rId137" Type="http://schemas.openxmlformats.org/officeDocument/2006/relationships/hyperlink" Target="https://images.indihometv.com/images/channels/image_ch_nick.png" TargetMode="External"/><Relationship Id="rId158" Type="http://schemas.openxmlformats.org/officeDocument/2006/relationships/hyperlink" Target="https://images.indihometv.com/images/channels/image_ch_tv9.png" TargetMode="External"/><Relationship Id="rId20" Type="http://schemas.openxmlformats.org/officeDocument/2006/relationships/hyperlink" Target="https://www.indihometv.com/assets/images/channel/channel_temp.png" TargetMode="External"/><Relationship Id="rId41" Type="http://schemas.openxmlformats.org/officeDocument/2006/relationships/hyperlink" Target="https://images.indihometv.com/images/channels/image_ch_animax.png" TargetMode="External"/><Relationship Id="rId62" Type="http://schemas.openxmlformats.org/officeDocument/2006/relationships/hyperlink" Target="https://images.indihometv.com/images/channels/image_ch_celestialmovies.png" TargetMode="External"/><Relationship Id="rId83" Type="http://schemas.openxmlformats.org/officeDocument/2006/relationships/hyperlink" Target="https://images.indihometv.com/images/channels/image_ch_fashiontv.png" TargetMode="External"/><Relationship Id="rId88" Type="http://schemas.openxmlformats.org/officeDocument/2006/relationships/hyperlink" Target="https://images.indihometv.com/images/channels/image_ch_galaxypremium.png" TargetMode="External"/><Relationship Id="rId111" Type="http://schemas.openxmlformats.org/officeDocument/2006/relationships/hyperlink" Target="https://images.indihometv.com/images/channels/image_ch_kix.png" TargetMode="External"/><Relationship Id="rId132" Type="http://schemas.openxmlformats.org/officeDocument/2006/relationships/hyperlink" Target="https://images.indihometv.com/images/channels/image_ch_chinesenewsasia.png" TargetMode="External"/><Relationship Id="rId153" Type="http://schemas.openxmlformats.org/officeDocument/2006/relationships/hyperlink" Target="https://images.indihometv.com/images/channels/imageCir_DMITV-180x180_2025_11_06_11_00_00.jpg" TargetMode="External"/><Relationship Id="rId15" Type="http://schemas.openxmlformats.org/officeDocument/2006/relationships/hyperlink" Target="https://images.indihometv.com/logo_insert_big1.png" TargetMode="External"/><Relationship Id="rId36" Type="http://schemas.openxmlformats.org/officeDocument/2006/relationships/hyperlink" Target="https://images.indihometv.com/images/channels/image_ch_abcaustrlia.png" TargetMode="External"/><Relationship Id="rId57" Type="http://schemas.openxmlformats.org/officeDocument/2006/relationships/hyperlink" Target="https://images.indihometv.com/images/channels/image_ch_cartoonito.png" TargetMode="External"/><Relationship Id="rId106" Type="http://schemas.openxmlformats.org/officeDocument/2006/relationships/hyperlink" Target="https://images.indihometv.com/images/channels/image_ch_inews.png" TargetMode="External"/><Relationship Id="rId127" Type="http://schemas.openxmlformats.org/officeDocument/2006/relationships/hyperlink" Target="https://images.indihometv.com/images/channels/image_ch_tvmui.png" TargetMode="External"/><Relationship Id="rId10" Type="http://schemas.openxmlformats.org/officeDocument/2006/relationships/hyperlink" Target="https://www.indihometv.com/assets/images/channel/channel_temp.png" TargetMode="External"/><Relationship Id="rId31" Type="http://schemas.openxmlformats.org/officeDocument/2006/relationships/hyperlink" Target="https://images.indihometv.com/assets/88_SEATODAY_2025_03_17_15_10_12.png" TargetMode="External"/><Relationship Id="rId52" Type="http://schemas.openxmlformats.org/officeDocument/2006/relationships/hyperlink" Target="https://images.indihometv.com/images/channels/image_ch_btv.png" TargetMode="External"/><Relationship Id="rId73" Type="http://schemas.openxmlformats.org/officeDocument/2006/relationships/hyperlink" Target="https://images.indihometv.com/images/channels/image_ch_curiosity.png" TargetMode="External"/><Relationship Id="rId78" Type="http://schemas.openxmlformats.org/officeDocument/2006/relationships/hyperlink" Target="https://images.indihometv.com/images/channels/image_ch_dreamworks.png" TargetMode="External"/><Relationship Id="rId94" Type="http://schemas.openxmlformats.org/officeDocument/2006/relationships/hyperlink" Target="https://images.indihometv.com/images/channels/image_ch_hgtv.png" TargetMode="External"/><Relationship Id="rId99" Type="http://schemas.openxmlformats.org/officeDocument/2006/relationships/hyperlink" Target="https://images.indihometv.com/images/channels/image_ch_horee!.png" TargetMode="External"/><Relationship Id="rId101" Type="http://schemas.openxmlformats.org/officeDocument/2006/relationships/hyperlink" Target="https://images.indihometv.com/images/channels/imageCir_BERITA_SATU_(Color)_2025_10_24_11_52_17.jpg" TargetMode="External"/><Relationship Id="rId122" Type="http://schemas.openxmlformats.org/officeDocument/2006/relationships/hyperlink" Target="https://images.indihometv.com/images/channels/imageCir_MNC-180x180_2025_11_06_13_06_02.jpg" TargetMode="External"/><Relationship Id="rId143" Type="http://schemas.openxmlformats.org/officeDocument/2006/relationships/hyperlink" Target="https://images.indihometv.com/images/channels/image_ch_prambors.png" TargetMode="External"/><Relationship Id="rId148" Type="http://schemas.openxmlformats.org/officeDocument/2006/relationships/hyperlink" Target="https://images.indihometv.com/images/channels/image_ch_sctv.png" TargetMode="External"/><Relationship Id="rId164" Type="http://schemas.openxmlformats.org/officeDocument/2006/relationships/hyperlink" Target="https://images.indihometv.com/images/channels/image_ch_tvri.png" TargetMode="External"/><Relationship Id="rId169" Type="http://schemas.openxmlformats.org/officeDocument/2006/relationships/hyperlink" Target="https://images.indihometv.com/images/channels/image_ch_warnertv.png" TargetMode="External"/><Relationship Id="rId4" Type="http://schemas.openxmlformats.org/officeDocument/2006/relationships/hyperlink" Target="https://servicebuss.transvision.co.id/hospitality/v1/files/channel_image/dc7d7072-39d4-4978-bc34-4e7654fe4469.jpg" TargetMode="External"/><Relationship Id="rId9" Type="http://schemas.openxmlformats.org/officeDocument/2006/relationships/hyperlink" Target="https://www.indihometv.com/assets/images/channel/channel_temp.png" TargetMode="External"/><Relationship Id="rId26" Type="http://schemas.openxmlformats.org/officeDocument/2006/relationships/hyperlink" Target="https://images.indihometv.com/logo_natgeowild_ver1.png" TargetMode="External"/><Relationship Id="rId47" Type="http://schemas.openxmlformats.org/officeDocument/2006/relationships/hyperlink" Target="https://images.indihometv.com/images/channels/image_ch_axn.png" TargetMode="External"/><Relationship Id="rId68" Type="http://schemas.openxmlformats.org/officeDocument/2006/relationships/hyperlink" Target="https://images.indihometv.com/images/channels/image_ch_cnbcasia.png" TargetMode="External"/><Relationship Id="rId89" Type="http://schemas.openxmlformats.org/officeDocument/2006/relationships/hyperlink" Target="https://images.indihometv.com/images/channels/imageCir_GTV-180x180_2025_11_06_13_07_56.jpg" TargetMode="External"/><Relationship Id="rId112" Type="http://schemas.openxmlformats.org/officeDocument/2006/relationships/hyperlink" Target="https://images.indihometv.com/images/channels/image_ch_kompastv.png" TargetMode="External"/><Relationship Id="rId133" Type="http://schemas.openxmlformats.org/officeDocument/2006/relationships/hyperlink" Target="https://images.indihometv.com/images/channels/image_ch_newtvcompre.png" TargetMode="External"/><Relationship Id="rId154" Type="http://schemas.openxmlformats.org/officeDocument/2006/relationships/hyperlink" Target="https://images.indihometv.com/images/channels/image_ch_thrill.png" TargetMode="External"/><Relationship Id="rId16" Type="http://schemas.openxmlformats.org/officeDocument/2006/relationships/hyperlink" Target="https://images.indihometv.com/logo_kungfutv_big.png" TargetMode="External"/><Relationship Id="rId37" Type="http://schemas.openxmlformats.org/officeDocument/2006/relationships/hyperlink" Target="https://images.indihometv.com/images/channels/image_ch_afn.png" TargetMode="External"/><Relationship Id="rId58" Type="http://schemas.openxmlformats.org/officeDocument/2006/relationships/hyperlink" Target="https://images.indihometv.com/images/channels/imageCir_180x180_CBeebies_2025_12_03_10_31_32.jpg" TargetMode="External"/><Relationship Id="rId79" Type="http://schemas.openxmlformats.org/officeDocument/2006/relationships/hyperlink" Target="https://images.indihometv.com/images/channels/image_ch_duniaanak.png" TargetMode="External"/><Relationship Id="rId102" Type="http://schemas.openxmlformats.org/officeDocument/2006/relationships/hyperlink" Target="https://images.indihometv.com/images/channels/image_ch_imc.png" TargetMode="External"/><Relationship Id="rId123" Type="http://schemas.openxmlformats.org/officeDocument/2006/relationships/hyperlink" Target="https://images.indihometv.com/images/channels/image_ch_moonbug%20kids.png" TargetMode="External"/><Relationship Id="rId144" Type="http://schemas.openxmlformats.org/officeDocument/2006/relationships/hyperlink" Target="https://images.indihometv.com/images/channels/imageCir_RCTI-180x180_2025_11_06_13_09_06.jpg" TargetMode="External"/><Relationship Id="rId90" Type="http://schemas.openxmlformats.org/officeDocument/2006/relationships/hyperlink" Target="https://images.indihometv.com/images/channels/imageCir_HBO-180x180_2025_11_05_11_21_29.jpg" TargetMode="External"/><Relationship Id="rId165" Type="http://schemas.openxmlformats.org/officeDocument/2006/relationships/hyperlink" Target="https://images.indihometv.com/images/channels/imageCir_180x180-CL-TVRI-World_2025_11_03_11_11_10.jpg" TargetMode="External"/><Relationship Id="rId27" Type="http://schemas.openxmlformats.org/officeDocument/2006/relationships/hyperlink" Target="https://images.indihometv.com/logo_nhkworldpremium_big.png" TargetMode="External"/><Relationship Id="rId48" Type="http://schemas.openxmlformats.org/officeDocument/2006/relationships/hyperlink" Target="https://images.indihometv.com/images/channels/image_ch_balitv.png" TargetMode="External"/><Relationship Id="rId69" Type="http://schemas.openxmlformats.org/officeDocument/2006/relationships/hyperlink" Target="https://images.indihometv.com/images/channels/image_ch_cnbcindonesia.png" TargetMode="External"/><Relationship Id="rId113" Type="http://schemas.openxmlformats.org/officeDocument/2006/relationships/hyperlink" Target="https://images.indihometv.com/images/channels/image_ch_kplus.png" TargetMode="External"/><Relationship Id="rId134" Type="http://schemas.openxmlformats.org/officeDocument/2006/relationships/hyperlink" Target="https://images.indihometv.com/images/channels/image_ch_newtvfinance.png" TargetMode="External"/><Relationship Id="rId80" Type="http://schemas.openxmlformats.org/officeDocument/2006/relationships/hyperlink" Target="https://images.indihometv.com/images/channels/image_ch_dunialain.png" TargetMode="External"/><Relationship Id="rId155" Type="http://schemas.openxmlformats.org/officeDocument/2006/relationships/hyperlink" Target="https://images.indihometv.com/images/channels/image_ch_tlc.png" TargetMode="External"/><Relationship Id="rId17" Type="http://schemas.openxmlformats.org/officeDocument/2006/relationships/hyperlink" Target="https://store-assets.jubelio.com/webstore-v2/images/jstorev2/t2d9d6gn8jnib/1741679892531_70281a6e-8880-4ce4-8a1e-8cebd085f2f2.png" TargetMode="External"/><Relationship Id="rId38" Type="http://schemas.openxmlformats.org/officeDocument/2006/relationships/hyperlink" Target="https://images.indihometv.com/images/channels/image_ch_aljazeera.png" TargetMode="External"/><Relationship Id="rId59" Type="http://schemas.openxmlformats.org/officeDocument/2006/relationships/hyperlink" Target="https://images.indihometv.com/images/channels/image_ch_cctv4.png" TargetMode="External"/><Relationship Id="rId103" Type="http://schemas.openxmlformats.org/officeDocument/2006/relationships/hyperlink" Target="https://images.indihometv.com/images/channels/imageCir_180x180_CLMAXKids_2026_01_31_00_41_18.jpg" TargetMode="External"/><Relationship Id="rId124" Type="http://schemas.openxmlformats.org/officeDocument/2006/relationships/hyperlink" Target="https://images.indihometv.com/images/channels/image_ch_mqtv.png" TargetMode="External"/><Relationship Id="rId70" Type="http://schemas.openxmlformats.org/officeDocument/2006/relationships/hyperlink" Target="https://images.indihometv.com/images/channels/image_ch_cnnindonesia.png" TargetMode="External"/><Relationship Id="rId91" Type="http://schemas.openxmlformats.org/officeDocument/2006/relationships/hyperlink" Target="https://images.indihometv.com/images/channels/imageCir_HBO-Familly-180x180_2025_11_05_11_14_46.jpg" TargetMode="External"/><Relationship Id="rId145" Type="http://schemas.openxmlformats.org/officeDocument/2006/relationships/hyperlink" Target="https://images.indihometv.com/images/channels/image_ch_rodjatv.png" TargetMode="External"/><Relationship Id="rId166" Type="http://schemas.openxmlformats.org/officeDocument/2006/relationships/hyperlink" Target="https://images.indihometv.com/images/channels/image_ch_uchannel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CBACF-5BA9-497F-A8E5-BA13BAA682B4}">
  <sheetPr codeName="Sheet1"/>
  <dimension ref="A1:A2"/>
  <sheetViews>
    <sheetView tabSelected="1" workbookViewId="0"/>
  </sheetViews>
  <sheetFormatPr defaultRowHeight="14.4" x14ac:dyDescent="0.55000000000000004"/>
  <sheetData>
    <row r="1" spans="1:1" x14ac:dyDescent="0.55000000000000004">
      <c r="A1" s="1" t="s">
        <v>7</v>
      </c>
    </row>
    <row r="2" spans="1:1" x14ac:dyDescent="0.55000000000000004">
      <c r="A2" t="s">
        <v>659</v>
      </c>
    </row>
  </sheetData>
  <pageMargins left="0.7" right="0.7" top="0.75" bottom="0.75" header="0.3" footer="0.3"/>
  <pageSetup paperSize="10000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B095C-2E9D-4955-B445-6E1D5A34A667}">
  <sheetPr codeName="Sheet2"/>
  <dimension ref="A1:L239"/>
  <sheetViews>
    <sheetView topLeftCell="C47" workbookViewId="0"/>
  </sheetViews>
  <sheetFormatPr defaultRowHeight="14.4" x14ac:dyDescent="0.55000000000000004"/>
  <cols>
    <col min="1" max="1" width="17.68359375" bestFit="1" customWidth="1"/>
    <col min="2" max="2" width="32" bestFit="1" customWidth="1"/>
    <col min="3" max="3" width="4.578125" customWidth="1"/>
    <col min="4" max="4" width="5.15625" bestFit="1" customWidth="1"/>
    <col min="5" max="5" width="8.1015625" bestFit="1" customWidth="1"/>
    <col min="6" max="6" width="23.7890625" bestFit="1" customWidth="1"/>
    <col min="7" max="7" width="95.68359375" bestFit="1" customWidth="1"/>
    <col min="8" max="8" width="21.734375" bestFit="1" customWidth="1"/>
    <col min="9" max="9" width="4.89453125" customWidth="1"/>
    <col min="10" max="10" width="10.3125" bestFit="1" customWidth="1"/>
    <col min="11" max="11" width="7.3125" bestFit="1" customWidth="1"/>
    <col min="13" max="13" width="10.3671875" bestFit="1" customWidth="1"/>
    <col min="14" max="18" width="11" bestFit="1" customWidth="1"/>
  </cols>
  <sheetData>
    <row r="1" spans="1:12" x14ac:dyDescent="0.55000000000000004">
      <c r="A1" t="s">
        <v>0</v>
      </c>
      <c r="B1" t="s">
        <v>273</v>
      </c>
      <c r="C1" t="s">
        <v>282</v>
      </c>
      <c r="D1" t="s">
        <v>1</v>
      </c>
      <c r="E1" t="s">
        <v>272</v>
      </c>
      <c r="F1" t="s">
        <v>9</v>
      </c>
      <c r="G1" t="s">
        <v>2</v>
      </c>
      <c r="H1" t="s">
        <v>3</v>
      </c>
      <c r="I1" t="s">
        <v>2227</v>
      </c>
      <c r="J1" t="s">
        <v>4</v>
      </c>
      <c r="K1" t="s">
        <v>5</v>
      </c>
      <c r="L1" t="s">
        <v>6</v>
      </c>
    </row>
    <row r="2" spans="1:12" x14ac:dyDescent="0.55000000000000004">
      <c r="A2" t="s">
        <v>891</v>
      </c>
      <c r="B2" s="2" t="s">
        <v>521</v>
      </c>
      <c r="C2" s="8" t="str">
        <f>IF(ISERROR(VLOOKUP(M3U[[#This Row],[TVGID]],GUIDE[[#All],[TVGID]],1,0)),"✗","✓")</f>
        <v>✓</v>
      </c>
      <c r="D2">
        <v>87</v>
      </c>
      <c r="E2" t="s">
        <v>271</v>
      </c>
      <c r="F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MAXStream TV HD</v>
      </c>
      <c r="G2" s="5" t="str">
        <f>IFERROR(IFERROR(VLOOKUP(M3U[[#This Row],[ID]],CHANNEL[#All],4,0),VLOOKUP(M3U[[#This Row],[ID]],CHANNEL_EXT[#All],4,0)),"-")</f>
        <v>https://images.maxstream.tv/sites/default/files/entry/0_ixad1kw8/landscape_carousel_hdpi.webp</v>
      </c>
      <c r="H2" s="4" t="str">
        <f>IFERROR(IFERROR(VLOOKUP(M3U[[#This Row],[ID]],CHANNEL[#All],3,0),VLOOKUP(M3U[[#This Row],[ID]],CHANNEL_EXT[#All],3,0)),"-")</f>
        <v>Movies and Entertainment</v>
      </c>
      <c r="I2" s="8" t="str">
        <f>IF(ISERROR(VLOOKUP(M3U[[#This Row],[ID]]&amp;"-"&amp;M3U[[#This Row],[Q]],STREAM[[#All],[SID]],1,0)),"✗","✓")</f>
        <v>✓</v>
      </c>
      <c r="J2" t="str">
        <f>IFERROR(VLOOKUP(M3U[[#This Row],[ID]]&amp;"-"&amp;M3U[[#This Row],[Q]],STREAM[],5,0),"-")</f>
        <v>239.1.1.200</v>
      </c>
      <c r="K2">
        <f>IFERROR(VLOOKUP(M3U[[#This Row],[ID]]&amp;"-"&amp;M3U[[#This Row],[Q]],STREAM[],6,0),"-")</f>
        <v>8164</v>
      </c>
      <c r="L2" t="b">
        <v>1</v>
      </c>
    </row>
    <row r="3" spans="1:12" hidden="1" x14ac:dyDescent="0.55000000000000004">
      <c r="A3" t="s">
        <v>788</v>
      </c>
      <c r="B3" s="2" t="s">
        <v>676</v>
      </c>
      <c r="C3" s="8" t="str">
        <f>IF(ISERROR(VLOOKUP(M3U[[#This Row],[TVGID]],GUIDE[[#All],[TVGID]],1,0)),"✗","✓")</f>
        <v>✓</v>
      </c>
      <c r="D3">
        <v>88</v>
      </c>
      <c r="E3" t="s">
        <v>321</v>
      </c>
      <c r="F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MAXReels</v>
      </c>
      <c r="G3" s="5" t="str">
        <f>IFERROR(IFERROR(VLOOKUP(M3U[[#This Row],[ID]],CHANNEL[#All],4,0),VLOOKUP(M3U[[#This Row],[ID]],CHANNEL_EXT[#All],4,0)),"-")</f>
        <v>https://images.maxstream.tv/sites/default/files/entry/0_psqdb637/landscape_carousel_hdpi.webp</v>
      </c>
      <c r="H3" s="4" t="str">
        <f>IFERROR(IFERROR(VLOOKUP(M3U[[#This Row],[ID]],CHANNEL[#All],3,0),VLOOKUP(M3U[[#This Row],[ID]],CHANNEL_EXT[#All],3,0)),"-")</f>
        <v>Movies and Entertainment</v>
      </c>
      <c r="I3" s="8" t="str">
        <f>IF(ISERROR(VLOOKUP(M3U[[#This Row],[ID]]&amp;"-"&amp;M3U[[#This Row],[Q]],STREAM[[#All],[SID]],1,0)),"✗","✓")</f>
        <v>✗</v>
      </c>
      <c r="J3" t="str">
        <f>IFERROR(VLOOKUP(M3U[[#This Row],[ID]]&amp;"-"&amp;M3U[[#This Row],[Q]],STREAM[],5,0),"-")</f>
        <v>-</v>
      </c>
      <c r="K3" t="str">
        <f>IFERROR(VLOOKUP(M3U[[#This Row],[ID]]&amp;"-"&amp;M3U[[#This Row],[Q]],STREAM[],6,0),"-")</f>
        <v>-</v>
      </c>
      <c r="L3" t="b">
        <v>0</v>
      </c>
    </row>
    <row r="4" spans="1:12" x14ac:dyDescent="0.55000000000000004">
      <c r="A4" t="s">
        <v>788</v>
      </c>
      <c r="B4" s="2" t="s">
        <v>676</v>
      </c>
      <c r="C4" s="8" t="str">
        <f>IF(ISERROR(VLOOKUP(M3U[[#This Row],[TVGID]],GUIDE[[#All],[TVGID]],1,0)),"✗","✓")</f>
        <v>✓</v>
      </c>
      <c r="D4">
        <v>88</v>
      </c>
      <c r="E4" t="s">
        <v>271</v>
      </c>
      <c r="F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MAXReels HD</v>
      </c>
      <c r="G4" s="5" t="str">
        <f>IFERROR(IFERROR(VLOOKUP(M3U[[#This Row],[ID]],CHANNEL[#All],4,0),VLOOKUP(M3U[[#This Row],[ID]],CHANNEL_EXT[#All],4,0)),"-")</f>
        <v>https://images.maxstream.tv/sites/default/files/entry/0_psqdb637/landscape_carousel_hdpi.webp</v>
      </c>
      <c r="H4" s="4" t="str">
        <f>IFERROR(IFERROR(VLOOKUP(M3U[[#This Row],[ID]],CHANNEL[#All],3,0),VLOOKUP(M3U[[#This Row],[ID]],CHANNEL_EXT[#All],3,0)),"-")</f>
        <v>Movies and Entertainment</v>
      </c>
      <c r="I4" s="8" t="str">
        <f>IF(ISERROR(VLOOKUP(M3U[[#This Row],[ID]]&amp;"-"&amp;M3U[[#This Row],[Q]],STREAM[[#All],[SID]],1,0)),"✗","✓")</f>
        <v>✓</v>
      </c>
      <c r="J4" t="str">
        <f>IFERROR(VLOOKUP(M3U[[#This Row],[ID]]&amp;"-"&amp;M3U[[#This Row],[Q]],STREAM[],5,0),"-")</f>
        <v>239.1.1.252</v>
      </c>
      <c r="K4">
        <f>IFERROR(VLOOKUP(M3U[[#This Row],[ID]]&amp;"-"&amp;M3U[[#This Row],[Q]],STREAM[],6,0),"-")</f>
        <v>9486</v>
      </c>
      <c r="L4" t="b">
        <v>1</v>
      </c>
    </row>
    <row r="5" spans="1:12" hidden="1" x14ac:dyDescent="0.55000000000000004">
      <c r="A5" t="s">
        <v>203</v>
      </c>
      <c r="B5" s="2" t="s">
        <v>522</v>
      </c>
      <c r="C5" s="8" t="str">
        <f>IF(ISERROR(VLOOKUP(M3U[[#This Row],[TVGID]],GUIDE[[#All],[TVGID]],1,0)),"✗","✓")</f>
        <v>✓</v>
      </c>
      <c r="D5">
        <v>99</v>
      </c>
      <c r="E5" t="s">
        <v>321</v>
      </c>
      <c r="F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TVRI</v>
      </c>
      <c r="G5" s="5" t="str">
        <f>IFERROR(IFERROR(VLOOKUP(M3U[[#This Row],[ID]],CHANNEL[#All],4,0),VLOOKUP(M3U[[#This Row],[ID]],CHANNEL_EXT[#All],4,0)),"-")</f>
        <v>https://images.maxstream.tv/sites/default/files/entry/0_vu7lebet/landscape_carousel_hdpi.webp</v>
      </c>
      <c r="H5" s="4" t="str">
        <f>IFERROR(IFERROR(VLOOKUP(M3U[[#This Row],[ID]],CHANNEL[#All],3,0),VLOOKUP(M3U[[#This Row],[ID]],CHANNEL_EXT[#All],3,0)),"-")</f>
        <v>Local TV</v>
      </c>
      <c r="I5" s="8" t="str">
        <f>IF(ISERROR(VLOOKUP(M3U[[#This Row],[ID]]&amp;"-"&amp;M3U[[#This Row],[Q]],STREAM[[#All],[SID]],1,0)),"✗","✓")</f>
        <v>✗</v>
      </c>
      <c r="J5" t="str">
        <f>IFERROR(VLOOKUP(M3U[[#This Row],[ID]]&amp;"-"&amp;M3U[[#This Row],[Q]],STREAM[],5,0),"-")</f>
        <v>-</v>
      </c>
      <c r="K5" t="str">
        <f>IFERROR(VLOOKUP(M3U[[#This Row],[ID]]&amp;"-"&amp;M3U[[#This Row],[Q]],STREAM[],6,0),"-")</f>
        <v>-</v>
      </c>
      <c r="L5" t="b">
        <v>0</v>
      </c>
    </row>
    <row r="6" spans="1:12" x14ac:dyDescent="0.55000000000000004">
      <c r="A6" t="s">
        <v>203</v>
      </c>
      <c r="B6" s="2" t="s">
        <v>522</v>
      </c>
      <c r="C6" s="8" t="str">
        <f>IF(ISERROR(VLOOKUP(M3U[[#This Row],[TVGID]],GUIDE[[#All],[TVGID]],1,0)),"✗","✓")</f>
        <v>✓</v>
      </c>
      <c r="D6">
        <v>99</v>
      </c>
      <c r="E6" t="s">
        <v>271</v>
      </c>
      <c r="F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TVRI HD</v>
      </c>
      <c r="G6" s="5" t="str">
        <f>IFERROR(IFERROR(VLOOKUP(M3U[[#This Row],[ID]],CHANNEL[#All],4,0),VLOOKUP(M3U[[#This Row],[ID]],CHANNEL_EXT[#All],4,0)),"-")</f>
        <v>https://images.maxstream.tv/sites/default/files/entry/0_vu7lebet/landscape_carousel_hdpi.webp</v>
      </c>
      <c r="H6" s="4" t="str">
        <f>IFERROR(IFERROR(VLOOKUP(M3U[[#This Row],[ID]],CHANNEL[#All],3,0),VLOOKUP(M3U[[#This Row],[ID]],CHANNEL_EXT[#All],3,0)),"-")</f>
        <v>Local TV</v>
      </c>
      <c r="I6" s="8" t="str">
        <f>IF(ISERROR(VLOOKUP(M3U[[#This Row],[ID]]&amp;"-"&amp;M3U[[#This Row],[Q]],STREAM[[#All],[SID]],1,0)),"✗","✓")</f>
        <v>✗</v>
      </c>
      <c r="J6" t="str">
        <f>IFERROR(VLOOKUP(M3U[[#This Row],[ID]]&amp;"-"&amp;M3U[[#This Row],[Q]],STREAM[],5,0),"-")</f>
        <v>-</v>
      </c>
      <c r="K6" t="str">
        <f>IFERROR(VLOOKUP(M3U[[#This Row],[ID]]&amp;"-"&amp;M3U[[#This Row],[Q]],STREAM[],6,0),"-")</f>
        <v>-</v>
      </c>
      <c r="L6" t="b">
        <v>1</v>
      </c>
    </row>
    <row r="7" spans="1:12" hidden="1" x14ac:dyDescent="0.55000000000000004">
      <c r="A7" t="s">
        <v>243</v>
      </c>
      <c r="B7" s="2" t="s">
        <v>523</v>
      </c>
      <c r="C7" s="8" t="str">
        <f>IF(ISERROR(VLOOKUP(M3U[[#This Row],[TVGID]],GUIDE[[#All],[TVGID]],1,0)),"✗","✓")</f>
        <v>✓</v>
      </c>
      <c r="D7">
        <v>100</v>
      </c>
      <c r="E7" t="s">
        <v>321</v>
      </c>
      <c r="F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Metro TV</v>
      </c>
      <c r="G7" s="5" t="str">
        <f>IFERROR(IFERROR(VLOOKUP(M3U[[#This Row],[ID]],CHANNEL[#All],4,0),VLOOKUP(M3U[[#This Row],[ID]],CHANNEL_EXT[#All],4,0)),"-")</f>
        <v>https://images.maxstream.tv/sites/default/files/entry/0_2jt2oz81/landscape_carousel_hdpi.webp</v>
      </c>
      <c r="H7" s="4" t="str">
        <f>IFERROR(IFERROR(VLOOKUP(M3U[[#This Row],[ID]],CHANNEL[#All],3,0),VLOOKUP(M3U[[#This Row],[ID]],CHANNEL_EXT[#All],3,0)),"-")</f>
        <v>Local TV</v>
      </c>
      <c r="I7" s="8" t="str">
        <f>IF(ISERROR(VLOOKUP(M3U[[#This Row],[ID]]&amp;"-"&amp;M3U[[#This Row],[Q]],STREAM[[#All],[SID]],1,0)),"✗","✓")</f>
        <v>✗</v>
      </c>
      <c r="J7" t="str">
        <f>IFERROR(VLOOKUP(M3U[[#This Row],[ID]]&amp;"-"&amp;M3U[[#This Row],[Q]],STREAM[],5,0),"-")</f>
        <v>-</v>
      </c>
      <c r="K7" t="str">
        <f>IFERROR(VLOOKUP(M3U[[#This Row],[ID]]&amp;"-"&amp;M3U[[#This Row],[Q]],STREAM[],6,0),"-")</f>
        <v>-</v>
      </c>
      <c r="L7" t="b">
        <v>0</v>
      </c>
    </row>
    <row r="8" spans="1:12" x14ac:dyDescent="0.55000000000000004">
      <c r="A8" t="s">
        <v>243</v>
      </c>
      <c r="B8" s="2" t="s">
        <v>523</v>
      </c>
      <c r="C8" s="8" t="str">
        <f>IF(ISERROR(VLOOKUP(M3U[[#This Row],[TVGID]],GUIDE[[#All],[TVGID]],1,0)),"✗","✓")</f>
        <v>✓</v>
      </c>
      <c r="D8">
        <v>100</v>
      </c>
      <c r="E8" t="s">
        <v>271</v>
      </c>
      <c r="F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Metro TV HD</v>
      </c>
      <c r="G8" s="5" t="str">
        <f>IFERROR(IFERROR(VLOOKUP(M3U[[#This Row],[ID]],CHANNEL[#All],4,0),VLOOKUP(M3U[[#This Row],[ID]],CHANNEL_EXT[#All],4,0)),"-")</f>
        <v>https://images.maxstream.tv/sites/default/files/entry/0_2jt2oz81/landscape_carousel_hdpi.webp</v>
      </c>
      <c r="H8" s="4" t="str">
        <f>IFERROR(IFERROR(VLOOKUP(M3U[[#This Row],[ID]],CHANNEL[#All],3,0),VLOOKUP(M3U[[#This Row],[ID]],CHANNEL_EXT[#All],3,0)),"-")</f>
        <v>Local TV</v>
      </c>
      <c r="I8" s="8" t="str">
        <f>IF(ISERROR(VLOOKUP(M3U[[#This Row],[ID]]&amp;"-"&amp;M3U[[#This Row],[Q]],STREAM[[#All],[SID]],1,0)),"✗","✓")</f>
        <v>✗</v>
      </c>
      <c r="J8" t="str">
        <f>IFERROR(VLOOKUP(M3U[[#This Row],[ID]]&amp;"-"&amp;M3U[[#This Row],[Q]],STREAM[],5,0),"-")</f>
        <v>-</v>
      </c>
      <c r="K8" t="str">
        <f>IFERROR(VLOOKUP(M3U[[#This Row],[ID]]&amp;"-"&amp;M3U[[#This Row],[Q]],STREAM[],6,0),"-")</f>
        <v>-</v>
      </c>
      <c r="L8" t="b">
        <v>1</v>
      </c>
    </row>
    <row r="9" spans="1:12" x14ac:dyDescent="0.55000000000000004">
      <c r="A9" t="s">
        <v>665</v>
      </c>
      <c r="B9" s="2" t="s">
        <v>673</v>
      </c>
      <c r="C9" s="8" t="str">
        <f>IF(ISERROR(VLOOKUP(M3U[[#This Row],[TVGID]],GUIDE[[#All],[TVGID]],1,0)),"✗","✓")</f>
        <v>✓</v>
      </c>
      <c r="D9">
        <v>101</v>
      </c>
      <c r="E9" t="s">
        <v>271</v>
      </c>
      <c r="F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MAXStreak HD</v>
      </c>
      <c r="G9" s="5" t="str">
        <f>IFERROR(IFERROR(VLOOKUP(M3U[[#This Row],[ID]],CHANNEL[#All],4,0),VLOOKUP(M3U[[#This Row],[ID]],CHANNEL_EXT[#All],4,0)),"-")</f>
        <v>https://images.maxstream.tv/sites/default/files/entry/0_720wy4x6/landscape_carousel_hdpi.webp</v>
      </c>
      <c r="H9" s="4" t="str">
        <f>IFERROR(IFERROR(VLOOKUP(M3U[[#This Row],[ID]],CHANNEL[#All],3,0),VLOOKUP(M3U[[#This Row],[ID]],CHANNEL_EXT[#All],3,0)),"-")</f>
        <v>Movies and Entertainment</v>
      </c>
      <c r="I9" s="8" t="str">
        <f>IF(ISERROR(VLOOKUP(M3U[[#This Row],[ID]]&amp;"-"&amp;M3U[[#This Row],[Q]],STREAM[[#All],[SID]],1,0)),"✗","✓")</f>
        <v>✓</v>
      </c>
      <c r="J9" t="str">
        <f>IFERROR(VLOOKUP(M3U[[#This Row],[ID]]&amp;"-"&amp;M3U[[#This Row],[Q]],STREAM[],5,0),"-")</f>
        <v>239.1.1.9</v>
      </c>
      <c r="K9">
        <f>IFERROR(VLOOKUP(M3U[[#This Row],[ID]]&amp;"-"&amp;M3U[[#This Row],[Q]],STREAM[],6,0),"-")</f>
        <v>8025</v>
      </c>
      <c r="L9" t="b">
        <v>1</v>
      </c>
    </row>
    <row r="10" spans="1:12" hidden="1" x14ac:dyDescent="0.55000000000000004">
      <c r="A10" t="s">
        <v>235</v>
      </c>
      <c r="B10" s="2" t="s">
        <v>525</v>
      </c>
      <c r="C10" s="8" t="str">
        <f>IF(ISERROR(VLOOKUP(M3U[[#This Row],[TVGID]],GUIDE[[#All],[TVGID]],1,0)),"✗","✓")</f>
        <v>✓</v>
      </c>
      <c r="D10">
        <v>102</v>
      </c>
      <c r="E10" t="s">
        <v>321</v>
      </c>
      <c r="F1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CNN Indonesia</v>
      </c>
      <c r="G10" s="5" t="str">
        <f>IFERROR(IFERROR(VLOOKUP(M3U[[#This Row],[ID]],CHANNEL[#All],4,0),VLOOKUP(M3U[[#This Row],[ID]],CHANNEL_EXT[#All],4,0)),"-")</f>
        <v>https://images.maxstream.tv/sites/default/files/entry/0_cavdcfwq/landscape_carousel_hdpi.webp</v>
      </c>
      <c r="H10" s="4" t="str">
        <f>IFERROR(IFERROR(VLOOKUP(M3U[[#This Row],[ID]],CHANNEL[#All],3,0),VLOOKUP(M3U[[#This Row],[ID]],CHANNEL_EXT[#All],3,0)),"-")</f>
        <v>Local TV</v>
      </c>
      <c r="I10" s="8" t="str">
        <f>IF(ISERROR(VLOOKUP(M3U[[#This Row],[ID]]&amp;"-"&amp;M3U[[#This Row],[Q]],STREAM[[#All],[SID]],1,0)),"✗","✓")</f>
        <v>✗</v>
      </c>
      <c r="J10" t="str">
        <f>IFERROR(VLOOKUP(M3U[[#This Row],[ID]]&amp;"-"&amp;M3U[[#This Row],[Q]],STREAM[],5,0),"-")</f>
        <v>-</v>
      </c>
      <c r="K10" t="str">
        <f>IFERROR(VLOOKUP(M3U[[#This Row],[ID]]&amp;"-"&amp;M3U[[#This Row],[Q]],STREAM[],6,0),"-")</f>
        <v>-</v>
      </c>
      <c r="L10" t="b">
        <v>0</v>
      </c>
    </row>
    <row r="11" spans="1:12" x14ac:dyDescent="0.55000000000000004">
      <c r="A11" t="s">
        <v>235</v>
      </c>
      <c r="B11" s="2" t="s">
        <v>525</v>
      </c>
      <c r="C11" s="8" t="str">
        <f>IF(ISERROR(VLOOKUP(M3U[[#This Row],[TVGID]],GUIDE[[#All],[TVGID]],1,0)),"✗","✓")</f>
        <v>✓</v>
      </c>
      <c r="D11">
        <v>102</v>
      </c>
      <c r="E11" t="s">
        <v>271</v>
      </c>
      <c r="F1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CNN Indonesia HD</v>
      </c>
      <c r="G11" s="5" t="str">
        <f>IFERROR(IFERROR(VLOOKUP(M3U[[#This Row],[ID]],CHANNEL[#All],4,0),VLOOKUP(M3U[[#This Row],[ID]],CHANNEL_EXT[#All],4,0)),"-")</f>
        <v>https://images.maxstream.tv/sites/default/files/entry/0_cavdcfwq/landscape_carousel_hdpi.webp</v>
      </c>
      <c r="H11" s="4" t="str">
        <f>IFERROR(IFERROR(VLOOKUP(M3U[[#This Row],[ID]],CHANNEL[#All],3,0),VLOOKUP(M3U[[#This Row],[ID]],CHANNEL_EXT[#All],3,0)),"-")</f>
        <v>Local TV</v>
      </c>
      <c r="I11" s="8" t="str">
        <f>IF(ISERROR(VLOOKUP(M3U[[#This Row],[ID]]&amp;"-"&amp;M3U[[#This Row],[Q]],STREAM[[#All],[SID]],1,0)),"✗","✓")</f>
        <v>✗</v>
      </c>
      <c r="J11" t="str">
        <f>IFERROR(VLOOKUP(M3U[[#This Row],[ID]]&amp;"-"&amp;M3U[[#This Row],[Q]],STREAM[],5,0),"-")</f>
        <v>-</v>
      </c>
      <c r="K11" t="str">
        <f>IFERROR(VLOOKUP(M3U[[#This Row],[ID]]&amp;"-"&amp;M3U[[#This Row],[Q]],STREAM[],6,0),"-")</f>
        <v>-</v>
      </c>
      <c r="L11" t="b">
        <v>1</v>
      </c>
    </row>
    <row r="12" spans="1:12" x14ac:dyDescent="0.55000000000000004">
      <c r="A12" t="s">
        <v>248</v>
      </c>
      <c r="B12" s="2" t="s">
        <v>526</v>
      </c>
      <c r="C12" s="8" t="str">
        <f>IF(ISERROR(VLOOKUP(M3U[[#This Row],[TVGID]],GUIDE[[#All],[TVGID]],1,0)),"✗","✓")</f>
        <v>✓</v>
      </c>
      <c r="D12">
        <v>103</v>
      </c>
      <c r="E12" t="s">
        <v>321</v>
      </c>
      <c r="F1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TV One</v>
      </c>
      <c r="G12" s="5" t="str">
        <f>IFERROR(IFERROR(VLOOKUP(M3U[[#This Row],[ID]],CHANNEL[#All],4,0),VLOOKUP(M3U[[#This Row],[ID]],CHANNEL_EXT[#All],4,0)),"-")</f>
        <v>https://images.maxstream.tv/sites/default/files/entry/0_qy8d9ng1/landscape_carousel_hdpi.webp</v>
      </c>
      <c r="H12" s="4" t="str">
        <f>IFERROR(IFERROR(VLOOKUP(M3U[[#This Row],[ID]],CHANNEL[#All],3,0),VLOOKUP(M3U[[#This Row],[ID]],CHANNEL_EXT[#All],3,0)),"-")</f>
        <v>Local TV</v>
      </c>
      <c r="I12" s="8" t="str">
        <f>IF(ISERROR(VLOOKUP(M3U[[#This Row],[ID]]&amp;"-"&amp;M3U[[#This Row],[Q]],STREAM[[#All],[SID]],1,0)),"✗","✓")</f>
        <v>✗</v>
      </c>
      <c r="J12" t="str">
        <f>IFERROR(VLOOKUP(M3U[[#This Row],[ID]]&amp;"-"&amp;M3U[[#This Row],[Q]],STREAM[],5,0),"-")</f>
        <v>-</v>
      </c>
      <c r="K12" t="str">
        <f>IFERROR(VLOOKUP(M3U[[#This Row],[ID]]&amp;"-"&amp;M3U[[#This Row],[Q]],STREAM[],6,0),"-")</f>
        <v>-</v>
      </c>
      <c r="L12" t="b">
        <v>1</v>
      </c>
    </row>
    <row r="13" spans="1:12" hidden="1" x14ac:dyDescent="0.55000000000000004">
      <c r="A13" t="s">
        <v>201</v>
      </c>
      <c r="B13" s="2" t="s">
        <v>527</v>
      </c>
      <c r="C13" s="8" t="str">
        <f>IF(ISERROR(VLOOKUP(M3U[[#This Row],[TVGID]],GUIDE[[#All],[TVGID]],1,0)),"✗","✓")</f>
        <v>✓</v>
      </c>
      <c r="D13">
        <v>104</v>
      </c>
      <c r="E13" t="s">
        <v>321</v>
      </c>
      <c r="F1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Trans TV</v>
      </c>
      <c r="G13" s="5" t="str">
        <f>IFERROR(IFERROR(VLOOKUP(M3U[[#This Row],[ID]],CHANNEL[#All],4,0),VLOOKUP(M3U[[#This Row],[ID]],CHANNEL_EXT[#All],4,0)),"-")</f>
        <v>https://images.maxstream.tv/sites/default/files/entry/0_uakgnhip/landscape_carousel_hdpi.webp</v>
      </c>
      <c r="H13" s="4" t="str">
        <f>IFERROR(IFERROR(VLOOKUP(M3U[[#This Row],[ID]],CHANNEL[#All],3,0),VLOOKUP(M3U[[#This Row],[ID]],CHANNEL_EXT[#All],3,0)),"-")</f>
        <v>Local TV</v>
      </c>
      <c r="I13" s="8" t="str">
        <f>IF(ISERROR(VLOOKUP(M3U[[#This Row],[ID]]&amp;"-"&amp;M3U[[#This Row],[Q]],STREAM[[#All],[SID]],1,0)),"✗","✓")</f>
        <v>✗</v>
      </c>
      <c r="J13" t="str">
        <f>IFERROR(VLOOKUP(M3U[[#This Row],[ID]]&amp;"-"&amp;M3U[[#This Row],[Q]],STREAM[],5,0),"-")</f>
        <v>-</v>
      </c>
      <c r="K13" t="str">
        <f>IFERROR(VLOOKUP(M3U[[#This Row],[ID]]&amp;"-"&amp;M3U[[#This Row],[Q]],STREAM[],6,0),"-")</f>
        <v>-</v>
      </c>
      <c r="L13" t="b">
        <v>0</v>
      </c>
    </row>
    <row r="14" spans="1:12" x14ac:dyDescent="0.55000000000000004">
      <c r="A14" t="s">
        <v>201</v>
      </c>
      <c r="B14" s="2" t="s">
        <v>527</v>
      </c>
      <c r="C14" s="8" t="str">
        <f>IF(ISERROR(VLOOKUP(M3U[[#This Row],[TVGID]],GUIDE[[#All],[TVGID]],1,0)),"✗","✓")</f>
        <v>✓</v>
      </c>
      <c r="D14">
        <v>104</v>
      </c>
      <c r="E14" t="s">
        <v>271</v>
      </c>
      <c r="F1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Trans TV HD</v>
      </c>
      <c r="G14" s="5" t="str">
        <f>IFERROR(IFERROR(VLOOKUP(M3U[[#This Row],[ID]],CHANNEL[#All],4,0),VLOOKUP(M3U[[#This Row],[ID]],CHANNEL_EXT[#All],4,0)),"-")</f>
        <v>https://images.maxstream.tv/sites/default/files/entry/0_uakgnhip/landscape_carousel_hdpi.webp</v>
      </c>
      <c r="H14" s="4" t="str">
        <f>IFERROR(IFERROR(VLOOKUP(M3U[[#This Row],[ID]],CHANNEL[#All],3,0),VLOOKUP(M3U[[#This Row],[ID]],CHANNEL_EXT[#All],3,0)),"-")</f>
        <v>Local TV</v>
      </c>
      <c r="I14" s="8" t="str">
        <f>IF(ISERROR(VLOOKUP(M3U[[#This Row],[ID]]&amp;"-"&amp;M3U[[#This Row],[Q]],STREAM[[#All],[SID]],1,0)),"✗","✓")</f>
        <v>✗</v>
      </c>
      <c r="J14" t="str">
        <f>IFERROR(VLOOKUP(M3U[[#This Row],[ID]]&amp;"-"&amp;M3U[[#This Row],[Q]],STREAM[],5,0),"-")</f>
        <v>-</v>
      </c>
      <c r="K14" t="str">
        <f>IFERROR(VLOOKUP(M3U[[#This Row],[ID]]&amp;"-"&amp;M3U[[#This Row],[Q]],STREAM[],6,0),"-")</f>
        <v>-</v>
      </c>
      <c r="L14" t="b">
        <v>1</v>
      </c>
    </row>
    <row r="15" spans="1:12" hidden="1" x14ac:dyDescent="0.55000000000000004">
      <c r="A15" t="s">
        <v>199</v>
      </c>
      <c r="B15" s="2" t="s">
        <v>528</v>
      </c>
      <c r="C15" s="8" t="str">
        <f>IF(ISERROR(VLOOKUP(M3U[[#This Row],[TVGID]],GUIDE[[#All],[TVGID]],1,0)),"✗","✓")</f>
        <v>✓</v>
      </c>
      <c r="D15">
        <v>105</v>
      </c>
      <c r="E15" t="s">
        <v>321</v>
      </c>
      <c r="F1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TRANS 7</v>
      </c>
      <c r="G15" s="5" t="str">
        <f>IFERROR(IFERROR(VLOOKUP(M3U[[#This Row],[ID]],CHANNEL[#All],4,0),VLOOKUP(M3U[[#This Row],[ID]],CHANNEL_EXT[#All],4,0)),"-")</f>
        <v>https://images.maxstream.tv/sites/default/files/entry/0_a7dno7wk/landscape_carousel_hdpi.webp</v>
      </c>
      <c r="H15" s="4" t="str">
        <f>IFERROR(IFERROR(VLOOKUP(M3U[[#This Row],[ID]],CHANNEL[#All],3,0),VLOOKUP(M3U[[#This Row],[ID]],CHANNEL_EXT[#All],3,0)),"-")</f>
        <v>Local TV</v>
      </c>
      <c r="I15" s="8" t="str">
        <f>IF(ISERROR(VLOOKUP(M3U[[#This Row],[ID]]&amp;"-"&amp;M3U[[#This Row],[Q]],STREAM[[#All],[SID]],1,0)),"✗","✓")</f>
        <v>✗</v>
      </c>
      <c r="J15" t="str">
        <f>IFERROR(VLOOKUP(M3U[[#This Row],[ID]]&amp;"-"&amp;M3U[[#This Row],[Q]],STREAM[],5,0),"-")</f>
        <v>-</v>
      </c>
      <c r="K15" t="str">
        <f>IFERROR(VLOOKUP(M3U[[#This Row],[ID]]&amp;"-"&amp;M3U[[#This Row],[Q]],STREAM[],6,0),"-")</f>
        <v>-</v>
      </c>
      <c r="L15" t="b">
        <v>0</v>
      </c>
    </row>
    <row r="16" spans="1:12" x14ac:dyDescent="0.55000000000000004">
      <c r="A16" t="s">
        <v>199</v>
      </c>
      <c r="B16" s="2" t="s">
        <v>528</v>
      </c>
      <c r="C16" s="8" t="str">
        <f>IF(ISERROR(VLOOKUP(M3U[[#This Row],[TVGID]],GUIDE[[#All],[TVGID]],1,0)),"✗","✓")</f>
        <v>✓</v>
      </c>
      <c r="D16">
        <v>105</v>
      </c>
      <c r="E16" t="s">
        <v>271</v>
      </c>
      <c r="F1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TRANS 7 HD</v>
      </c>
      <c r="G16" s="5" t="str">
        <f>IFERROR(IFERROR(VLOOKUP(M3U[[#This Row],[ID]],CHANNEL[#All],4,0),VLOOKUP(M3U[[#This Row],[ID]],CHANNEL_EXT[#All],4,0)),"-")</f>
        <v>https://images.maxstream.tv/sites/default/files/entry/0_a7dno7wk/landscape_carousel_hdpi.webp</v>
      </c>
      <c r="H16" s="4" t="str">
        <f>IFERROR(IFERROR(VLOOKUP(M3U[[#This Row],[ID]],CHANNEL[#All],3,0),VLOOKUP(M3U[[#This Row],[ID]],CHANNEL_EXT[#All],3,0)),"-")</f>
        <v>Local TV</v>
      </c>
      <c r="I16" s="8" t="str">
        <f>IF(ISERROR(VLOOKUP(M3U[[#This Row],[ID]]&amp;"-"&amp;M3U[[#This Row],[Q]],STREAM[[#All],[SID]],1,0)),"✗","✓")</f>
        <v>✗</v>
      </c>
      <c r="J16" t="str">
        <f>IFERROR(VLOOKUP(M3U[[#This Row],[ID]]&amp;"-"&amp;M3U[[#This Row],[Q]],STREAM[],5,0),"-")</f>
        <v>-</v>
      </c>
      <c r="K16" t="str">
        <f>IFERROR(VLOOKUP(M3U[[#This Row],[ID]]&amp;"-"&amp;M3U[[#This Row],[Q]],STREAM[],6,0),"-")</f>
        <v>-</v>
      </c>
      <c r="L16" t="b">
        <v>1</v>
      </c>
    </row>
    <row r="17" spans="1:12" hidden="1" x14ac:dyDescent="0.55000000000000004">
      <c r="A17" t="s">
        <v>284</v>
      </c>
      <c r="B17" s="2" t="s">
        <v>529</v>
      </c>
      <c r="C17" s="8" t="str">
        <f>IF(ISERROR(VLOOKUP(M3U[[#This Row],[TVGID]],GUIDE[[#All],[TVGID]],1,0)),"✗","✓")</f>
        <v>✗</v>
      </c>
      <c r="D17">
        <v>106</v>
      </c>
      <c r="E17" t="s">
        <v>321</v>
      </c>
      <c r="F1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Lejel Home Shopping</v>
      </c>
      <c r="G17" s="5" t="str">
        <f>IFERROR(IFERROR(VLOOKUP(M3U[[#This Row],[ID]],CHANNEL[#All],4,0),VLOOKUP(M3U[[#This Row],[ID]],CHANNEL_EXT[#All],4,0)),"-")</f>
        <v>https://store-assets.jubelio.com/webstore-v2/images/jstorev2/t2d9d6gn8jnib/1741679892531_70281a6e-8880-4ce4-8a1e-8cebd085f2f2.png</v>
      </c>
      <c r="H17" s="4" t="str">
        <f>IFERROR(IFERROR(VLOOKUP(M3U[[#This Row],[ID]],CHANNEL[#All],3,0),VLOOKUP(M3U[[#This Row],[ID]],CHANNEL_EXT[#All],3,0)),"-")</f>
        <v>Lifestyle</v>
      </c>
      <c r="I17" s="8" t="str">
        <f>IF(ISERROR(VLOOKUP(M3U[[#This Row],[ID]]&amp;"-"&amp;M3U[[#This Row],[Q]],STREAM[[#All],[SID]],1,0)),"✗","✓")</f>
        <v>✗</v>
      </c>
      <c r="J17" t="str">
        <f>IFERROR(VLOOKUP(M3U[[#This Row],[ID]]&amp;"-"&amp;M3U[[#This Row],[Q]],STREAM[],5,0),"-")</f>
        <v>-</v>
      </c>
      <c r="K17" t="str">
        <f>IFERROR(VLOOKUP(M3U[[#This Row],[ID]]&amp;"-"&amp;M3U[[#This Row],[Q]],STREAM[],6,0),"-")</f>
        <v>-</v>
      </c>
      <c r="L17" t="b">
        <v>0</v>
      </c>
    </row>
    <row r="18" spans="1:12" hidden="1" x14ac:dyDescent="0.55000000000000004">
      <c r="A18" t="s">
        <v>196</v>
      </c>
      <c r="B18" s="2" t="s">
        <v>530</v>
      </c>
      <c r="C18" s="8" t="str">
        <f>IF(ISERROR(VLOOKUP(M3U[[#This Row],[TVGID]],GUIDE[[#All],[TVGID]],1,0)),"✗","✓")</f>
        <v>✓</v>
      </c>
      <c r="D18">
        <v>107</v>
      </c>
      <c r="E18" t="s">
        <v>321</v>
      </c>
      <c r="F1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SCTV</v>
      </c>
      <c r="G18" s="5" t="str">
        <f>IFERROR(IFERROR(VLOOKUP(M3U[[#This Row],[ID]],CHANNEL[#All],4,0),VLOOKUP(M3U[[#This Row],[ID]],CHANNEL_EXT[#All],4,0)),"-")</f>
        <v>https://images.maxstream.tv/sites/default/files/entry/0_xgmdprq0/landscape_carousel_hdpi.webp</v>
      </c>
      <c r="H18" s="4" t="str">
        <f>IFERROR(IFERROR(VLOOKUP(M3U[[#This Row],[ID]],CHANNEL[#All],3,0),VLOOKUP(M3U[[#This Row],[ID]],CHANNEL_EXT[#All],3,0)),"-")</f>
        <v>Local TV</v>
      </c>
      <c r="I18" s="8" t="str">
        <f>IF(ISERROR(VLOOKUP(M3U[[#This Row],[ID]]&amp;"-"&amp;M3U[[#This Row],[Q]],STREAM[[#All],[SID]],1,0)),"✗","✓")</f>
        <v>✗</v>
      </c>
      <c r="J18" t="str">
        <f>IFERROR(VLOOKUP(M3U[[#This Row],[ID]]&amp;"-"&amp;M3U[[#This Row],[Q]],STREAM[],5,0),"-")</f>
        <v>-</v>
      </c>
      <c r="K18" t="str">
        <f>IFERROR(VLOOKUP(M3U[[#This Row],[ID]]&amp;"-"&amp;M3U[[#This Row],[Q]],STREAM[],6,0),"-")</f>
        <v>-</v>
      </c>
      <c r="L18" t="b">
        <v>0</v>
      </c>
    </row>
    <row r="19" spans="1:12" x14ac:dyDescent="0.55000000000000004">
      <c r="A19" t="s">
        <v>196</v>
      </c>
      <c r="B19" s="2" t="s">
        <v>530</v>
      </c>
      <c r="C19" s="8" t="str">
        <f>IF(ISERROR(VLOOKUP(M3U[[#This Row],[TVGID]],GUIDE[[#All],[TVGID]],1,0)),"✗","✓")</f>
        <v>✓</v>
      </c>
      <c r="D19">
        <v>107</v>
      </c>
      <c r="E19" t="s">
        <v>271</v>
      </c>
      <c r="F1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SCTV HD</v>
      </c>
      <c r="G19" s="5" t="str">
        <f>IFERROR(IFERROR(VLOOKUP(M3U[[#This Row],[ID]],CHANNEL[#All],4,0),VLOOKUP(M3U[[#This Row],[ID]],CHANNEL_EXT[#All],4,0)),"-")</f>
        <v>https://images.maxstream.tv/sites/default/files/entry/0_xgmdprq0/landscape_carousel_hdpi.webp</v>
      </c>
      <c r="H19" s="4" t="str">
        <f>IFERROR(IFERROR(VLOOKUP(M3U[[#This Row],[ID]],CHANNEL[#All],3,0),VLOOKUP(M3U[[#This Row],[ID]],CHANNEL_EXT[#All],3,0)),"-")</f>
        <v>Local TV</v>
      </c>
      <c r="I19" s="8" t="str">
        <f>IF(ISERROR(VLOOKUP(M3U[[#This Row],[ID]]&amp;"-"&amp;M3U[[#This Row],[Q]],STREAM[[#All],[SID]],1,0)),"✗","✓")</f>
        <v>✗</v>
      </c>
      <c r="J19" t="str">
        <f>IFERROR(VLOOKUP(M3U[[#This Row],[ID]]&amp;"-"&amp;M3U[[#This Row],[Q]],STREAM[],5,0),"-")</f>
        <v>-</v>
      </c>
      <c r="K19" t="str">
        <f>IFERROR(VLOOKUP(M3U[[#This Row],[ID]]&amp;"-"&amp;M3U[[#This Row],[Q]],STREAM[],6,0),"-")</f>
        <v>-</v>
      </c>
      <c r="L19" t="b">
        <v>1</v>
      </c>
    </row>
    <row r="20" spans="1:12" hidden="1" x14ac:dyDescent="0.55000000000000004">
      <c r="A20" t="s">
        <v>176</v>
      </c>
      <c r="B20" s="2" t="s">
        <v>531</v>
      </c>
      <c r="C20" s="8" t="str">
        <f>IF(ISERROR(VLOOKUP(M3U[[#This Row],[TVGID]],GUIDE[[#All],[TVGID]],1,0)),"✗","✓")</f>
        <v>✓</v>
      </c>
      <c r="D20">
        <v>108</v>
      </c>
      <c r="E20" t="s">
        <v>321</v>
      </c>
      <c r="F2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ANTV</v>
      </c>
      <c r="G20" s="5" t="str">
        <f>IFERROR(IFERROR(VLOOKUP(M3U[[#This Row],[ID]],CHANNEL[#All],4,0),VLOOKUP(M3U[[#This Row],[ID]],CHANNEL_EXT[#All],4,0)),"-")</f>
        <v>https://images.maxstream.tv/sites/default/files/entry/0_6y0oafne/landscape_carousel_hdpi.webp</v>
      </c>
      <c r="H20" s="4" t="str">
        <f>IFERROR(IFERROR(VLOOKUP(M3U[[#This Row],[ID]],CHANNEL[#All],3,0),VLOOKUP(M3U[[#This Row],[ID]],CHANNEL_EXT[#All],3,0)),"-")</f>
        <v>Local TV</v>
      </c>
      <c r="I20" s="8" t="str">
        <f>IF(ISERROR(VLOOKUP(M3U[[#This Row],[ID]]&amp;"-"&amp;M3U[[#This Row],[Q]],STREAM[[#All],[SID]],1,0)),"✗","✓")</f>
        <v>✗</v>
      </c>
      <c r="J20" t="str">
        <f>IFERROR(VLOOKUP(M3U[[#This Row],[ID]]&amp;"-"&amp;M3U[[#This Row],[Q]],STREAM[],5,0),"-")</f>
        <v>-</v>
      </c>
      <c r="K20" t="str">
        <f>IFERROR(VLOOKUP(M3U[[#This Row],[ID]]&amp;"-"&amp;M3U[[#This Row],[Q]],STREAM[],6,0),"-")</f>
        <v>-</v>
      </c>
      <c r="L20" t="b">
        <v>0</v>
      </c>
    </row>
    <row r="21" spans="1:12" x14ac:dyDescent="0.55000000000000004">
      <c r="A21" t="s">
        <v>176</v>
      </c>
      <c r="B21" s="2" t="s">
        <v>531</v>
      </c>
      <c r="C21" s="8" t="str">
        <f>IF(ISERROR(VLOOKUP(M3U[[#This Row],[TVGID]],GUIDE[[#All],[TVGID]],1,0)),"✗","✓")</f>
        <v>✓</v>
      </c>
      <c r="D21">
        <v>108</v>
      </c>
      <c r="E21" t="s">
        <v>271</v>
      </c>
      <c r="F2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ANTV HD</v>
      </c>
      <c r="G21" s="5" t="str">
        <f>IFERROR(IFERROR(VLOOKUP(M3U[[#This Row],[ID]],CHANNEL[#All],4,0),VLOOKUP(M3U[[#This Row],[ID]],CHANNEL_EXT[#All],4,0)),"-")</f>
        <v>https://images.maxstream.tv/sites/default/files/entry/0_6y0oafne/landscape_carousel_hdpi.webp</v>
      </c>
      <c r="H21" s="4" t="str">
        <f>IFERROR(IFERROR(VLOOKUP(M3U[[#This Row],[ID]],CHANNEL[#All],3,0),VLOOKUP(M3U[[#This Row],[ID]],CHANNEL_EXT[#All],3,0)),"-")</f>
        <v>Local TV</v>
      </c>
      <c r="I21" s="8" t="str">
        <f>IF(ISERROR(VLOOKUP(M3U[[#This Row],[ID]]&amp;"-"&amp;M3U[[#This Row],[Q]],STREAM[[#All],[SID]],1,0)),"✗","✓")</f>
        <v>✗</v>
      </c>
      <c r="J21" t="str">
        <f>IFERROR(VLOOKUP(M3U[[#This Row],[ID]]&amp;"-"&amp;M3U[[#This Row],[Q]],STREAM[],5,0),"-")</f>
        <v>-</v>
      </c>
      <c r="K21" t="str">
        <f>IFERROR(VLOOKUP(M3U[[#This Row],[ID]]&amp;"-"&amp;M3U[[#This Row],[Q]],STREAM[],6,0),"-")</f>
        <v>-</v>
      </c>
      <c r="L21" t="b">
        <v>1</v>
      </c>
    </row>
    <row r="22" spans="1:12" hidden="1" x14ac:dyDescent="0.55000000000000004">
      <c r="A22" t="s">
        <v>182</v>
      </c>
      <c r="B22" s="2" t="s">
        <v>532</v>
      </c>
      <c r="C22" s="8" t="str">
        <f>IF(ISERROR(VLOOKUP(M3U[[#This Row],[TVGID]],GUIDE[[#All],[TVGID]],1,0)),"✗","✓")</f>
        <v>✓</v>
      </c>
      <c r="D22">
        <v>109</v>
      </c>
      <c r="E22" t="s">
        <v>321</v>
      </c>
      <c r="F2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Indosiar</v>
      </c>
      <c r="G22" s="5" t="str">
        <f>IFERROR(IFERROR(VLOOKUP(M3U[[#This Row],[ID]],CHANNEL[#All],4,0),VLOOKUP(M3U[[#This Row],[ID]],CHANNEL_EXT[#All],4,0)),"-")</f>
        <v>https://images.maxstream.tv/sites/default/files/entry/0_y2cx87w8/landscape_carousel_hdpi.webp</v>
      </c>
      <c r="H22" s="4" t="str">
        <f>IFERROR(IFERROR(VLOOKUP(M3U[[#This Row],[ID]],CHANNEL[#All],3,0),VLOOKUP(M3U[[#This Row],[ID]],CHANNEL_EXT[#All],3,0)),"-")</f>
        <v>Local TV</v>
      </c>
      <c r="I22" s="8" t="str">
        <f>IF(ISERROR(VLOOKUP(M3U[[#This Row],[ID]]&amp;"-"&amp;M3U[[#This Row],[Q]],STREAM[[#All],[SID]],1,0)),"✗","✓")</f>
        <v>✗</v>
      </c>
      <c r="J22" t="str">
        <f>IFERROR(VLOOKUP(M3U[[#This Row],[ID]]&amp;"-"&amp;M3U[[#This Row],[Q]],STREAM[],5,0),"-")</f>
        <v>-</v>
      </c>
      <c r="K22" t="str">
        <f>IFERROR(VLOOKUP(M3U[[#This Row],[ID]]&amp;"-"&amp;M3U[[#This Row],[Q]],STREAM[],6,0),"-")</f>
        <v>-</v>
      </c>
      <c r="L22" t="b">
        <v>0</v>
      </c>
    </row>
    <row r="23" spans="1:12" x14ac:dyDescent="0.55000000000000004">
      <c r="A23" t="s">
        <v>182</v>
      </c>
      <c r="B23" s="2" t="s">
        <v>532</v>
      </c>
      <c r="C23" s="8" t="str">
        <f>IF(ISERROR(VLOOKUP(M3U[[#This Row],[TVGID]],GUIDE[[#All],[TVGID]],1,0)),"✗","✓")</f>
        <v>✓</v>
      </c>
      <c r="D23">
        <v>109</v>
      </c>
      <c r="E23" t="s">
        <v>271</v>
      </c>
      <c r="F2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Indosiar HD</v>
      </c>
      <c r="G23" s="5" t="str">
        <f>IFERROR(IFERROR(VLOOKUP(M3U[[#This Row],[ID]],CHANNEL[#All],4,0),VLOOKUP(M3U[[#This Row],[ID]],CHANNEL_EXT[#All],4,0)),"-")</f>
        <v>https://images.maxstream.tv/sites/default/files/entry/0_y2cx87w8/landscape_carousel_hdpi.webp</v>
      </c>
      <c r="H23" s="4" t="str">
        <f>IFERROR(IFERROR(VLOOKUP(M3U[[#This Row],[ID]],CHANNEL[#All],3,0),VLOOKUP(M3U[[#This Row],[ID]],CHANNEL_EXT[#All],3,0)),"-")</f>
        <v>Local TV</v>
      </c>
      <c r="I23" s="8" t="str">
        <f>IF(ISERROR(VLOOKUP(M3U[[#This Row],[ID]]&amp;"-"&amp;M3U[[#This Row],[Q]],STREAM[[#All],[SID]],1,0)),"✗","✓")</f>
        <v>✗</v>
      </c>
      <c r="J23" t="str">
        <f>IFERROR(VLOOKUP(M3U[[#This Row],[ID]]&amp;"-"&amp;M3U[[#This Row],[Q]],STREAM[],5,0),"-")</f>
        <v>-</v>
      </c>
      <c r="K23" t="str">
        <f>IFERROR(VLOOKUP(M3U[[#This Row],[ID]]&amp;"-"&amp;M3U[[#This Row],[Q]],STREAM[],6,0),"-")</f>
        <v>-</v>
      </c>
      <c r="L23" t="b">
        <v>1</v>
      </c>
    </row>
    <row r="24" spans="1:12" hidden="1" x14ac:dyDescent="0.55000000000000004">
      <c r="A24" t="s">
        <v>2229</v>
      </c>
      <c r="B24" s="2" t="s">
        <v>2231</v>
      </c>
      <c r="C24" s="8" t="str">
        <f>IF(ISERROR(VLOOKUP(M3U[[#This Row],[TVGID]],GUIDE[[#All],[TVGID]],1,0)),"✗","✓")</f>
        <v>✗</v>
      </c>
      <c r="D24">
        <v>110</v>
      </c>
      <c r="E24" t="s">
        <v>321</v>
      </c>
      <c r="F2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Lejel Home Shopping Live</v>
      </c>
      <c r="G24" s="5" t="str">
        <f>IFERROR(IFERROR(VLOOKUP(M3U[[#This Row],[ID]],CHANNEL[#All],4,0),VLOOKUP(M3U[[#This Row],[ID]],CHANNEL_EXT[#All],4,0)),"-")</f>
        <v>https://store-assets.jubelio.com/webstore-v2/images/jstorev2/t2d9d6gn8jnib/1741679892531_70281a6e-8880-4ce4-8a1e-8cebd085f2f2.png</v>
      </c>
      <c r="H24" s="4" t="str">
        <f>IFERROR(IFERROR(VLOOKUP(M3U[[#This Row],[ID]],CHANNEL[#All],3,0),VLOOKUP(M3U[[#This Row],[ID]],CHANNEL_EXT[#All],3,0)),"-")</f>
        <v>Lifestyle</v>
      </c>
      <c r="I24" s="8" t="str">
        <f>IF(ISERROR(VLOOKUP(M3U[[#This Row],[ID]]&amp;"-"&amp;M3U[[#This Row],[Q]],STREAM[[#All],[SID]],1,0)),"✗","✓")</f>
        <v>✗</v>
      </c>
      <c r="J24" t="str">
        <f>IFERROR(VLOOKUP(M3U[[#This Row],[ID]]&amp;"-"&amp;M3U[[#This Row],[Q]],STREAM[],5,0),"-")</f>
        <v>-</v>
      </c>
      <c r="K24" t="str">
        <f>IFERROR(VLOOKUP(M3U[[#This Row],[ID]]&amp;"-"&amp;M3U[[#This Row],[Q]],STREAM[],6,0),"-")</f>
        <v>-</v>
      </c>
      <c r="L24" t="b">
        <v>0</v>
      </c>
    </row>
    <row r="25" spans="1:12" x14ac:dyDescent="0.55000000000000004">
      <c r="A25" t="s">
        <v>662</v>
      </c>
      <c r="B25" s="2" t="s">
        <v>675</v>
      </c>
      <c r="C25" s="8" t="str">
        <f>IF(ISERROR(VLOOKUP(M3U[[#This Row],[TVGID]],GUIDE[[#All],[TVGID]],1,0)),"✗","✓")</f>
        <v>✓</v>
      </c>
      <c r="D25">
        <v>110</v>
      </c>
      <c r="E25" t="s">
        <v>271</v>
      </c>
      <c r="F2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MAXEats HD</v>
      </c>
      <c r="G25" s="5" t="str">
        <f>IFERROR(IFERROR(VLOOKUP(M3U[[#This Row],[ID]],CHANNEL[#All],4,0),VLOOKUP(M3U[[#This Row],[ID]],CHANNEL_EXT[#All],4,0)),"-")</f>
        <v>https://images.maxstream.tv/sites/default/files/entry/0_z7t4c568/landscape_carousel_hdpi.webp</v>
      </c>
      <c r="H25" s="4" t="str">
        <f>IFERROR(IFERROR(VLOOKUP(M3U[[#This Row],[ID]],CHANNEL[#All],3,0),VLOOKUP(M3U[[#This Row],[ID]],CHANNEL_EXT[#All],3,0)),"-")</f>
        <v>Movies and Entertainment</v>
      </c>
      <c r="I25" s="8" t="str">
        <f>IF(ISERROR(VLOOKUP(M3U[[#This Row],[ID]]&amp;"-"&amp;M3U[[#This Row],[Q]],STREAM[[#All],[SID]],1,0)),"✗","✓")</f>
        <v>✓</v>
      </c>
      <c r="J25" t="str">
        <f>IFERROR(VLOOKUP(M3U[[#This Row],[ID]]&amp;"-"&amp;M3U[[#This Row],[Q]],STREAM[],5,0),"-")</f>
        <v>239.1.1.35</v>
      </c>
      <c r="K25">
        <f>IFERROR(VLOOKUP(M3U[[#This Row],[ID]]&amp;"-"&amp;M3U[[#This Row],[Q]],STREAM[],6,0),"-")</f>
        <v>8031</v>
      </c>
      <c r="L25" t="b">
        <v>1</v>
      </c>
    </row>
    <row r="26" spans="1:12" x14ac:dyDescent="0.55000000000000004">
      <c r="A26" t="s">
        <v>368</v>
      </c>
      <c r="B26" s="2" t="s">
        <v>533</v>
      </c>
      <c r="C26" s="8" t="str">
        <f>IF(ISERROR(VLOOKUP(M3U[[#This Row],[TVGID]],GUIDE[[#All],[TVGID]],1,0)),"✗","✓")</f>
        <v>✓</v>
      </c>
      <c r="D26">
        <v>111</v>
      </c>
      <c r="E26" t="s">
        <v>271</v>
      </c>
      <c r="F2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Garuda TV HD</v>
      </c>
      <c r="G26" s="5" t="str">
        <f>IFERROR(IFERROR(VLOOKUP(M3U[[#This Row],[ID]],CHANNEL[#All],4,0),VLOOKUP(M3U[[#This Row],[ID]],CHANNEL_EXT[#All],4,0)),"-")</f>
        <v>https://servicebuss.transvision.co.id/hospitality/v1/files/channel_image/dc7d7072-39d4-4978-bc34-4e7654fe4469.jpg</v>
      </c>
      <c r="H26" s="4" t="str">
        <f>IFERROR(IFERROR(VLOOKUP(M3U[[#This Row],[ID]],CHANNEL[#All],3,0),VLOOKUP(M3U[[#This Row],[ID]],CHANNEL_EXT[#All],3,0)),"-")</f>
        <v>Local</v>
      </c>
      <c r="I26" s="8" t="str">
        <f>IF(ISERROR(VLOOKUP(M3U[[#This Row],[ID]]&amp;"-"&amp;M3U[[#This Row],[Q]],STREAM[[#All],[SID]],1,0)),"✗","✓")</f>
        <v>✗</v>
      </c>
      <c r="J26" t="str">
        <f>IFERROR(VLOOKUP(M3U[[#This Row],[ID]]&amp;"-"&amp;M3U[[#This Row],[Q]],STREAM[],5,0),"-")</f>
        <v>-</v>
      </c>
      <c r="K26" t="str">
        <f>IFERROR(VLOOKUP(M3U[[#This Row],[ID]]&amp;"-"&amp;M3U[[#This Row],[Q]],STREAM[],6,0),"-")</f>
        <v>-</v>
      </c>
      <c r="L26" t="b">
        <v>1</v>
      </c>
    </row>
    <row r="27" spans="1:12" hidden="1" x14ac:dyDescent="0.55000000000000004">
      <c r="A27" t="s">
        <v>796</v>
      </c>
      <c r="B27" s="2" t="s">
        <v>924</v>
      </c>
      <c r="C27" s="8" t="str">
        <f>IF(ISERROR(VLOOKUP(M3U[[#This Row],[TVGID]],GUIDE[[#All],[TVGID]],1,0)),"✗","✓")</f>
        <v>✓</v>
      </c>
      <c r="D27">
        <v>112</v>
      </c>
      <c r="E27" t="s">
        <v>321</v>
      </c>
      <c r="F2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MDTV</v>
      </c>
      <c r="G27" s="5" t="str">
        <f>IFERROR(IFERROR(VLOOKUP(M3U[[#This Row],[ID]],CHANNEL[#All],4,0),VLOOKUP(M3U[[#This Row],[ID]],CHANNEL_EXT[#All],4,0)),"-")</f>
        <v>https://images.maxstream.tv/sites/default/files/entry/0_keojjla6/landscape_carousel_hdpi.webp</v>
      </c>
      <c r="H27" s="4" t="str">
        <f>IFERROR(IFERROR(VLOOKUP(M3U[[#This Row],[ID]],CHANNEL[#All],3,0),VLOOKUP(M3U[[#This Row],[ID]],CHANNEL_EXT[#All],3,0)),"-")</f>
        <v>Local TV</v>
      </c>
      <c r="I27" s="8" t="str">
        <f>IF(ISERROR(VLOOKUP(M3U[[#This Row],[ID]]&amp;"-"&amp;M3U[[#This Row],[Q]],STREAM[[#All],[SID]],1,0)),"✗","✓")</f>
        <v>✗</v>
      </c>
      <c r="J27" t="str">
        <f>IFERROR(VLOOKUP(M3U[[#This Row],[ID]]&amp;"-"&amp;M3U[[#This Row],[Q]],STREAM[],5,0),"-")</f>
        <v>-</v>
      </c>
      <c r="K27" t="str">
        <f>IFERROR(VLOOKUP(M3U[[#This Row],[ID]]&amp;"-"&amp;M3U[[#This Row],[Q]],STREAM[],6,0),"-")</f>
        <v>-</v>
      </c>
      <c r="L27" t="b">
        <v>0</v>
      </c>
    </row>
    <row r="28" spans="1:12" x14ac:dyDescent="0.55000000000000004">
      <c r="A28" t="s">
        <v>796</v>
      </c>
      <c r="B28" s="2" t="s">
        <v>924</v>
      </c>
      <c r="C28" s="8" t="str">
        <f>IF(ISERROR(VLOOKUP(M3U[[#This Row],[TVGID]],GUIDE[[#All],[TVGID]],1,0)),"✗","✓")</f>
        <v>✓</v>
      </c>
      <c r="D28">
        <v>112</v>
      </c>
      <c r="E28" t="s">
        <v>271</v>
      </c>
      <c r="F2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MDTV HD</v>
      </c>
      <c r="G28" s="5" t="str">
        <f>IFERROR(IFERROR(VLOOKUP(M3U[[#This Row],[ID]],CHANNEL[#All],4,0),VLOOKUP(M3U[[#This Row],[ID]],CHANNEL_EXT[#All],4,0)),"-")</f>
        <v>https://images.maxstream.tv/sites/default/files/entry/0_keojjla6/landscape_carousel_hdpi.webp</v>
      </c>
      <c r="H28" s="4" t="str">
        <f>IFERROR(IFERROR(VLOOKUP(M3U[[#This Row],[ID]],CHANNEL[#All],3,0),VLOOKUP(M3U[[#This Row],[ID]],CHANNEL_EXT[#All],3,0)),"-")</f>
        <v>Local TV</v>
      </c>
      <c r="I28" s="8" t="str">
        <f>IF(ISERROR(VLOOKUP(M3U[[#This Row],[ID]]&amp;"-"&amp;M3U[[#This Row],[Q]],STREAM[[#All],[SID]],1,0)),"✗","✓")</f>
        <v>✗</v>
      </c>
      <c r="J28" t="str">
        <f>IFERROR(VLOOKUP(M3U[[#This Row],[ID]]&amp;"-"&amp;M3U[[#This Row],[Q]],STREAM[],5,0),"-")</f>
        <v>-</v>
      </c>
      <c r="K28" t="str">
        <f>IFERROR(VLOOKUP(M3U[[#This Row],[ID]]&amp;"-"&amp;M3U[[#This Row],[Q]],STREAM[],6,0),"-")</f>
        <v>-</v>
      </c>
      <c r="L28" t="b">
        <v>1</v>
      </c>
    </row>
    <row r="29" spans="1:12" hidden="1" x14ac:dyDescent="0.55000000000000004">
      <c r="A29" t="s">
        <v>189</v>
      </c>
      <c r="B29" s="2" t="s">
        <v>534</v>
      </c>
      <c r="C29" s="8" t="str">
        <f>IF(ISERROR(VLOOKUP(M3U[[#This Row],[TVGID]],GUIDE[[#All],[TVGID]],1,0)),"✗","✓")</f>
        <v>✓</v>
      </c>
      <c r="D29">
        <v>114</v>
      </c>
      <c r="E29" t="s">
        <v>321</v>
      </c>
      <c r="F2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Kompas TV</v>
      </c>
      <c r="G29" s="5" t="str">
        <f>IFERROR(IFERROR(VLOOKUP(M3U[[#This Row],[ID]],CHANNEL[#All],4,0),VLOOKUP(M3U[[#This Row],[ID]],CHANNEL_EXT[#All],4,0)),"-")</f>
        <v>https://images.maxstream.tv/sites/default/files/entry/0_930nfsqj/landscape_carousel_hdpi.webp</v>
      </c>
      <c r="H29" s="4" t="str">
        <f>IFERROR(IFERROR(VLOOKUP(M3U[[#This Row],[ID]],CHANNEL[#All],3,0),VLOOKUP(M3U[[#This Row],[ID]],CHANNEL_EXT[#All],3,0)),"-")</f>
        <v>Local TV</v>
      </c>
      <c r="I29" s="8" t="str">
        <f>IF(ISERROR(VLOOKUP(M3U[[#This Row],[ID]]&amp;"-"&amp;M3U[[#This Row],[Q]],STREAM[[#All],[SID]],1,0)),"✗","✓")</f>
        <v>✗</v>
      </c>
      <c r="J29" t="str">
        <f>IFERROR(VLOOKUP(M3U[[#This Row],[ID]]&amp;"-"&amp;M3U[[#This Row],[Q]],STREAM[],5,0),"-")</f>
        <v>-</v>
      </c>
      <c r="K29" t="str">
        <f>IFERROR(VLOOKUP(M3U[[#This Row],[ID]]&amp;"-"&amp;M3U[[#This Row],[Q]],STREAM[],6,0),"-")</f>
        <v>-</v>
      </c>
      <c r="L29" t="b">
        <v>0</v>
      </c>
    </row>
    <row r="30" spans="1:12" x14ac:dyDescent="0.55000000000000004">
      <c r="A30" t="s">
        <v>189</v>
      </c>
      <c r="B30" s="2" t="s">
        <v>534</v>
      </c>
      <c r="C30" s="8" t="str">
        <f>IF(ISERROR(VLOOKUP(M3U[[#This Row],[TVGID]],GUIDE[[#All],[TVGID]],1,0)),"✗","✓")</f>
        <v>✓</v>
      </c>
      <c r="D30">
        <v>114</v>
      </c>
      <c r="E30" t="s">
        <v>271</v>
      </c>
      <c r="F3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Kompas TV HD</v>
      </c>
      <c r="G30" s="5" t="str">
        <f>IFERROR(IFERROR(VLOOKUP(M3U[[#This Row],[ID]],CHANNEL[#All],4,0),VLOOKUP(M3U[[#This Row],[ID]],CHANNEL_EXT[#All],4,0)),"-")</f>
        <v>https://images.maxstream.tv/sites/default/files/entry/0_930nfsqj/landscape_carousel_hdpi.webp</v>
      </c>
      <c r="H30" s="4" t="str">
        <f>IFERROR(IFERROR(VLOOKUP(M3U[[#This Row],[ID]],CHANNEL[#All],3,0),VLOOKUP(M3U[[#This Row],[ID]],CHANNEL_EXT[#All],3,0)),"-")</f>
        <v>Local TV</v>
      </c>
      <c r="I30" s="8" t="str">
        <f>IF(ISERROR(VLOOKUP(M3U[[#This Row],[ID]]&amp;"-"&amp;M3U[[#This Row],[Q]],STREAM[[#All],[SID]],1,0)),"✗","✓")</f>
        <v>✗</v>
      </c>
      <c r="J30" t="str">
        <f>IFERROR(VLOOKUP(M3U[[#This Row],[ID]]&amp;"-"&amp;M3U[[#This Row],[Q]],STREAM[],5,0),"-")</f>
        <v>-</v>
      </c>
      <c r="K30" t="str">
        <f>IFERROR(VLOOKUP(M3U[[#This Row],[ID]]&amp;"-"&amp;M3U[[#This Row],[Q]],STREAM[],6,0),"-")</f>
        <v>-</v>
      </c>
      <c r="L30" t="b">
        <v>1</v>
      </c>
    </row>
    <row r="31" spans="1:12" hidden="1" x14ac:dyDescent="0.55000000000000004">
      <c r="A31" t="s">
        <v>701</v>
      </c>
      <c r="B31" s="2" t="s">
        <v>535</v>
      </c>
      <c r="C31" s="8" t="str">
        <f>IF(ISERROR(VLOOKUP(M3U[[#This Row],[TVGID]],GUIDE[[#All],[TVGID]],1,0)),"✗","✓")</f>
        <v>✓</v>
      </c>
      <c r="D31">
        <v>115</v>
      </c>
      <c r="E31" t="s">
        <v>321</v>
      </c>
      <c r="F3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BTV</v>
      </c>
      <c r="G31" s="5" t="str">
        <f>IFERROR(IFERROR(VLOOKUP(M3U[[#This Row],[ID]],CHANNEL[#All],4,0),VLOOKUP(M3U[[#This Row],[ID]],CHANNEL_EXT[#All],4,0)),"-")</f>
        <v>https://images.maxstream.tv/sites/default/files/entry/0_gv023ysj/landscape_carousel_hdpi.webp</v>
      </c>
      <c r="H31" s="4" t="str">
        <f>IFERROR(IFERROR(VLOOKUP(M3U[[#This Row],[ID]],CHANNEL[#All],3,0),VLOOKUP(M3U[[#This Row],[ID]],CHANNEL_EXT[#All],3,0)),"-")</f>
        <v>Local TV</v>
      </c>
      <c r="I31" s="8" t="str">
        <f>IF(ISERROR(VLOOKUP(M3U[[#This Row],[ID]]&amp;"-"&amp;M3U[[#This Row],[Q]],STREAM[[#All],[SID]],1,0)),"✗","✓")</f>
        <v>✗</v>
      </c>
      <c r="J31" t="str">
        <f>IFERROR(VLOOKUP(M3U[[#This Row],[ID]]&amp;"-"&amp;M3U[[#This Row],[Q]],STREAM[],5,0),"-")</f>
        <v>-</v>
      </c>
      <c r="K31" t="str">
        <f>IFERROR(VLOOKUP(M3U[[#This Row],[ID]]&amp;"-"&amp;M3U[[#This Row],[Q]],STREAM[],6,0),"-")</f>
        <v>-</v>
      </c>
      <c r="L31" t="b">
        <v>0</v>
      </c>
    </row>
    <row r="32" spans="1:12" x14ac:dyDescent="0.55000000000000004">
      <c r="A32" t="s">
        <v>701</v>
      </c>
      <c r="B32" s="2" t="s">
        <v>535</v>
      </c>
      <c r="C32" s="8" t="str">
        <f>IF(ISERROR(VLOOKUP(M3U[[#This Row],[TVGID]],GUIDE[[#All],[TVGID]],1,0)),"✗","✓")</f>
        <v>✓</v>
      </c>
      <c r="D32">
        <v>115</v>
      </c>
      <c r="E32" t="s">
        <v>271</v>
      </c>
      <c r="F3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BTV HD</v>
      </c>
      <c r="G32" s="5" t="str">
        <f>IFERROR(IFERROR(VLOOKUP(M3U[[#This Row],[ID]],CHANNEL[#All],4,0),VLOOKUP(M3U[[#This Row],[ID]],CHANNEL_EXT[#All],4,0)),"-")</f>
        <v>https://images.maxstream.tv/sites/default/files/entry/0_gv023ysj/landscape_carousel_hdpi.webp</v>
      </c>
      <c r="H32" s="4" t="str">
        <f>IFERROR(IFERROR(VLOOKUP(M3U[[#This Row],[ID]],CHANNEL[#All],3,0),VLOOKUP(M3U[[#This Row],[ID]],CHANNEL_EXT[#All],3,0)),"-")</f>
        <v>Local TV</v>
      </c>
      <c r="I32" s="8" t="str">
        <f>IF(ISERROR(VLOOKUP(M3U[[#This Row],[ID]]&amp;"-"&amp;M3U[[#This Row],[Q]],STREAM[[#All],[SID]],1,0)),"✗","✓")</f>
        <v>✗</v>
      </c>
      <c r="J32" t="str">
        <f>IFERROR(VLOOKUP(M3U[[#This Row],[ID]]&amp;"-"&amp;M3U[[#This Row],[Q]],STREAM[],5,0),"-")</f>
        <v>-</v>
      </c>
      <c r="K32" t="str">
        <f>IFERROR(VLOOKUP(M3U[[#This Row],[ID]]&amp;"-"&amp;M3U[[#This Row],[Q]],STREAM[],6,0),"-")</f>
        <v>-</v>
      </c>
      <c r="L32" t="b">
        <v>1</v>
      </c>
    </row>
    <row r="33" spans="1:12" x14ac:dyDescent="0.55000000000000004">
      <c r="A33" t="s">
        <v>186</v>
      </c>
      <c r="B33" s="2" t="s">
        <v>536</v>
      </c>
      <c r="C33" s="8" t="str">
        <f>IF(ISERROR(VLOOKUP(M3U[[#This Row],[TVGID]],GUIDE[[#All],[TVGID]],1,0)),"✗","✓")</f>
        <v>✓</v>
      </c>
      <c r="D33">
        <v>116</v>
      </c>
      <c r="E33" t="s">
        <v>321</v>
      </c>
      <c r="F3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JAK TV</v>
      </c>
      <c r="G33" s="5" t="str">
        <f>IFERROR(IFERROR(VLOOKUP(M3U[[#This Row],[ID]],CHANNEL[#All],4,0),VLOOKUP(M3U[[#This Row],[ID]],CHANNEL_EXT[#All],4,0)),"-")</f>
        <v>https://images.maxstream.tv/sites/default/files/entry/0_rkv5gee2/landscape_carousel_hdpi.webp</v>
      </c>
      <c r="H33" s="4" t="str">
        <f>IFERROR(IFERROR(VLOOKUP(M3U[[#This Row],[ID]],CHANNEL[#All],3,0),VLOOKUP(M3U[[#This Row],[ID]],CHANNEL_EXT[#All],3,0)),"-")</f>
        <v>Local TV</v>
      </c>
      <c r="I33" s="8" t="str">
        <f>IF(ISERROR(VLOOKUP(M3U[[#This Row],[ID]]&amp;"-"&amp;M3U[[#This Row],[Q]],STREAM[[#All],[SID]],1,0)),"✗","✓")</f>
        <v>✗</v>
      </c>
      <c r="J33" t="str">
        <f>IFERROR(VLOOKUP(M3U[[#This Row],[ID]]&amp;"-"&amp;M3U[[#This Row],[Q]],STREAM[],5,0),"-")</f>
        <v>-</v>
      </c>
      <c r="K33" t="str">
        <f>IFERROR(VLOOKUP(M3U[[#This Row],[ID]]&amp;"-"&amp;M3U[[#This Row],[Q]],STREAM[],6,0),"-")</f>
        <v>-</v>
      </c>
      <c r="L33" t="b">
        <v>1</v>
      </c>
    </row>
    <row r="34" spans="1:12" x14ac:dyDescent="0.55000000000000004">
      <c r="A34" t="s">
        <v>178</v>
      </c>
      <c r="B34" s="2" t="s">
        <v>537</v>
      </c>
      <c r="C34" s="8" t="str">
        <f>IF(ISERROR(VLOOKUP(M3U[[#This Row],[TVGID]],GUIDE[[#All],[TVGID]],1,0)),"✗","✓")</f>
        <v>✓</v>
      </c>
      <c r="D34">
        <v>117</v>
      </c>
      <c r="E34" t="s">
        <v>271</v>
      </c>
      <c r="F3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Berita Satu HD</v>
      </c>
      <c r="G34" s="5" t="str">
        <f>IFERROR(IFERROR(VLOOKUP(M3U[[#This Row],[ID]],CHANNEL[#All],4,0),VLOOKUP(M3U[[#This Row],[ID]],CHANNEL_EXT[#All],4,0)),"-")</f>
        <v>https://images.maxstream.tv/sites/default/files/entry/0_e2vtvhqt/landscape_carousel_hdpi.webp</v>
      </c>
      <c r="H34" s="4" t="str">
        <f>IFERROR(IFERROR(VLOOKUP(M3U[[#This Row],[ID]],CHANNEL[#All],3,0),VLOOKUP(M3U[[#This Row],[ID]],CHANNEL_EXT[#All],3,0)),"-")</f>
        <v>Local TV</v>
      </c>
      <c r="I34" s="8" t="str">
        <f>IF(ISERROR(VLOOKUP(M3U[[#This Row],[ID]]&amp;"-"&amp;M3U[[#This Row],[Q]],STREAM[[#All],[SID]],1,0)),"✗","✓")</f>
        <v>✗</v>
      </c>
      <c r="J34" t="str">
        <f>IFERROR(VLOOKUP(M3U[[#This Row],[ID]]&amp;"-"&amp;M3U[[#This Row],[Q]],STREAM[],5,0),"-")</f>
        <v>-</v>
      </c>
      <c r="K34" t="str">
        <f>IFERROR(VLOOKUP(M3U[[#This Row],[ID]]&amp;"-"&amp;M3U[[#This Row],[Q]],STREAM[],6,0),"-")</f>
        <v>-</v>
      </c>
      <c r="L34" t="b">
        <v>1</v>
      </c>
    </row>
    <row r="35" spans="1:12" hidden="1" x14ac:dyDescent="0.55000000000000004">
      <c r="A35" t="s">
        <v>193</v>
      </c>
      <c r="B35" s="2" t="s">
        <v>538</v>
      </c>
      <c r="C35" s="8" t="str">
        <f>IF(ISERROR(VLOOKUP(M3U[[#This Row],[TVGID]],GUIDE[[#All],[TVGID]],1,0)),"✗","✓")</f>
        <v>✓</v>
      </c>
      <c r="D35">
        <v>118</v>
      </c>
      <c r="E35" t="s">
        <v>321</v>
      </c>
      <c r="F3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RTV</v>
      </c>
      <c r="G35" s="5" t="str">
        <f>IFERROR(IFERROR(VLOOKUP(M3U[[#This Row],[ID]],CHANNEL[#All],4,0),VLOOKUP(M3U[[#This Row],[ID]],CHANNEL_EXT[#All],4,0)),"-")</f>
        <v>https://images.maxstream.tv/sites/default/files/entry/0_hii9fpgx/landscape_carousel_hdpi.webp</v>
      </c>
      <c r="H35" s="4" t="str">
        <f>IFERROR(IFERROR(VLOOKUP(M3U[[#This Row],[ID]],CHANNEL[#All],3,0),VLOOKUP(M3U[[#This Row],[ID]],CHANNEL_EXT[#All],3,0)),"-")</f>
        <v>Local TV</v>
      </c>
      <c r="I35" s="8" t="str">
        <f>IF(ISERROR(VLOOKUP(M3U[[#This Row],[ID]]&amp;"-"&amp;M3U[[#This Row],[Q]],STREAM[[#All],[SID]],1,0)),"✗","✓")</f>
        <v>✗</v>
      </c>
      <c r="J35" t="str">
        <f>IFERROR(VLOOKUP(M3U[[#This Row],[ID]]&amp;"-"&amp;M3U[[#This Row],[Q]],STREAM[],5,0),"-")</f>
        <v>-</v>
      </c>
      <c r="K35" t="str">
        <f>IFERROR(VLOOKUP(M3U[[#This Row],[ID]]&amp;"-"&amp;M3U[[#This Row],[Q]],STREAM[],6,0),"-")</f>
        <v>-</v>
      </c>
      <c r="L35" t="b">
        <v>0</v>
      </c>
    </row>
    <row r="36" spans="1:12" x14ac:dyDescent="0.55000000000000004">
      <c r="A36" t="s">
        <v>193</v>
      </c>
      <c r="B36" s="2" t="s">
        <v>538</v>
      </c>
      <c r="C36" s="8" t="str">
        <f>IF(ISERROR(VLOOKUP(M3U[[#This Row],[TVGID]],GUIDE[[#All],[TVGID]],1,0)),"✗","✓")</f>
        <v>✓</v>
      </c>
      <c r="D36">
        <v>118</v>
      </c>
      <c r="E36" t="s">
        <v>271</v>
      </c>
      <c r="F3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RTV HD</v>
      </c>
      <c r="G36" s="5" t="str">
        <f>IFERROR(IFERROR(VLOOKUP(M3U[[#This Row],[ID]],CHANNEL[#All],4,0),VLOOKUP(M3U[[#This Row],[ID]],CHANNEL_EXT[#All],4,0)),"-")</f>
        <v>https://images.maxstream.tv/sites/default/files/entry/0_hii9fpgx/landscape_carousel_hdpi.webp</v>
      </c>
      <c r="H36" s="4" t="str">
        <f>IFERROR(IFERROR(VLOOKUP(M3U[[#This Row],[ID]],CHANNEL[#All],3,0),VLOOKUP(M3U[[#This Row],[ID]],CHANNEL_EXT[#All],3,0)),"-")</f>
        <v>Local TV</v>
      </c>
      <c r="I36" s="8" t="str">
        <f>IF(ISERROR(VLOOKUP(M3U[[#This Row],[ID]]&amp;"-"&amp;M3U[[#This Row],[Q]],STREAM[[#All],[SID]],1,0)),"✗","✓")</f>
        <v>✗</v>
      </c>
      <c r="J36" t="str">
        <f>IFERROR(VLOOKUP(M3U[[#This Row],[ID]]&amp;"-"&amp;M3U[[#This Row],[Q]],STREAM[],5,0),"-")</f>
        <v>-</v>
      </c>
      <c r="K36" t="str">
        <f>IFERROR(VLOOKUP(M3U[[#This Row],[ID]]&amp;"-"&amp;M3U[[#This Row],[Q]],STREAM[],6,0),"-")</f>
        <v>-</v>
      </c>
      <c r="L36" t="b">
        <v>1</v>
      </c>
    </row>
    <row r="37" spans="1:12" hidden="1" x14ac:dyDescent="0.55000000000000004">
      <c r="A37" t="s">
        <v>889</v>
      </c>
      <c r="B37" s="2" t="s">
        <v>539</v>
      </c>
      <c r="C37" s="8" t="str">
        <f>IF(ISERROR(VLOOKUP(M3U[[#This Row],[TVGID]],GUIDE[[#All],[TVGID]],1,0)),"✗","✓")</f>
        <v>✓</v>
      </c>
      <c r="D37">
        <v>119</v>
      </c>
      <c r="E37" t="s">
        <v>321</v>
      </c>
      <c r="F3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IDX Channel</v>
      </c>
      <c r="G37" s="5" t="str">
        <f>IFERROR(IFERROR(VLOOKUP(M3U[[#This Row],[ID]],CHANNEL[#All],4,0),VLOOKUP(M3U[[#This Row],[ID]],CHANNEL_EXT[#All],4,0)),"-")</f>
        <v>https://images.maxstream.tv/sites/default/files/entry/0_rfc1zphz/landscape_carousel_hdpi.webp</v>
      </c>
      <c r="H37" s="4" t="str">
        <f>IFERROR(IFERROR(VLOOKUP(M3U[[#This Row],[ID]],CHANNEL[#All],3,0),VLOOKUP(M3U[[#This Row],[ID]],CHANNEL_EXT[#All],3,0)),"-")</f>
        <v>Local TV</v>
      </c>
      <c r="I37" s="8" t="str">
        <f>IF(ISERROR(VLOOKUP(M3U[[#This Row],[ID]]&amp;"-"&amp;M3U[[#This Row],[Q]],STREAM[[#All],[SID]],1,0)),"✗","✓")</f>
        <v>✗</v>
      </c>
      <c r="J37" t="str">
        <f>IFERROR(VLOOKUP(M3U[[#This Row],[ID]]&amp;"-"&amp;M3U[[#This Row],[Q]],STREAM[],5,0),"-")</f>
        <v>-</v>
      </c>
      <c r="K37" t="str">
        <f>IFERROR(VLOOKUP(M3U[[#This Row],[ID]]&amp;"-"&amp;M3U[[#This Row],[Q]],STREAM[],6,0),"-")</f>
        <v>-</v>
      </c>
      <c r="L37" t="b">
        <v>0</v>
      </c>
    </row>
    <row r="38" spans="1:12" x14ac:dyDescent="0.55000000000000004">
      <c r="A38" t="s">
        <v>889</v>
      </c>
      <c r="B38" s="2" t="s">
        <v>539</v>
      </c>
      <c r="C38" s="8" t="str">
        <f>IF(ISERROR(VLOOKUP(M3U[[#This Row],[TVGID]],GUIDE[[#All],[TVGID]],1,0)),"✗","✓")</f>
        <v>✓</v>
      </c>
      <c r="D38">
        <v>119</v>
      </c>
      <c r="E38" t="s">
        <v>271</v>
      </c>
      <c r="F3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IDX Channel HD</v>
      </c>
      <c r="G38" s="5" t="str">
        <f>IFERROR(IFERROR(VLOOKUP(M3U[[#This Row],[ID]],CHANNEL[#All],4,0),VLOOKUP(M3U[[#This Row],[ID]],CHANNEL_EXT[#All],4,0)),"-")</f>
        <v>https://images.maxstream.tv/sites/default/files/entry/0_rfc1zphz/landscape_carousel_hdpi.webp</v>
      </c>
      <c r="H38" s="4" t="str">
        <f>IFERROR(IFERROR(VLOOKUP(M3U[[#This Row],[ID]],CHANNEL[#All],3,0),VLOOKUP(M3U[[#This Row],[ID]],CHANNEL_EXT[#All],3,0)),"-")</f>
        <v>Local TV</v>
      </c>
      <c r="I38" s="8" t="str">
        <f>IF(ISERROR(VLOOKUP(M3U[[#This Row],[ID]]&amp;"-"&amp;M3U[[#This Row],[Q]],STREAM[[#All],[SID]],1,0)),"✗","✓")</f>
        <v>✗</v>
      </c>
      <c r="J38" t="str">
        <f>IFERROR(VLOOKUP(M3U[[#This Row],[ID]]&amp;"-"&amp;M3U[[#This Row],[Q]],STREAM[],5,0),"-")</f>
        <v>-</v>
      </c>
      <c r="K38" t="str">
        <f>IFERROR(VLOOKUP(M3U[[#This Row],[ID]]&amp;"-"&amp;M3U[[#This Row],[Q]],STREAM[],6,0),"-")</f>
        <v>-</v>
      </c>
      <c r="L38" t="b">
        <v>1</v>
      </c>
    </row>
    <row r="39" spans="1:12" hidden="1" x14ac:dyDescent="0.55000000000000004">
      <c r="A39" t="s">
        <v>179</v>
      </c>
      <c r="B39" s="2" t="s">
        <v>540</v>
      </c>
      <c r="C39" s="8" t="str">
        <f>IF(ISERROR(VLOOKUP(M3U[[#This Row],[TVGID]],GUIDE[[#All],[TVGID]],1,0)),"✗","✓")</f>
        <v>✓</v>
      </c>
      <c r="D39">
        <v>120</v>
      </c>
      <c r="E39" t="s">
        <v>321</v>
      </c>
      <c r="F3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DAAI TV</v>
      </c>
      <c r="G39" s="5" t="str">
        <f>IFERROR(IFERROR(VLOOKUP(M3U[[#This Row],[ID]],CHANNEL[#All],4,0),VLOOKUP(M3U[[#This Row],[ID]],CHANNEL_EXT[#All],4,0)),"-")</f>
        <v>https://images.maxstream.tv/sites/default/files/entry/0_wfgm77pv/landscape_carousel_hdpi.webp</v>
      </c>
      <c r="H39" s="4" t="str">
        <f>IFERROR(IFERROR(VLOOKUP(M3U[[#This Row],[ID]],CHANNEL[#All],3,0),VLOOKUP(M3U[[#This Row],[ID]],CHANNEL_EXT[#All],3,0)),"-")</f>
        <v>Local TV</v>
      </c>
      <c r="I39" s="8" t="str">
        <f>IF(ISERROR(VLOOKUP(M3U[[#This Row],[ID]]&amp;"-"&amp;M3U[[#This Row],[Q]],STREAM[[#All],[SID]],1,0)),"✗","✓")</f>
        <v>✗</v>
      </c>
      <c r="J39" t="str">
        <f>IFERROR(VLOOKUP(M3U[[#This Row],[ID]]&amp;"-"&amp;M3U[[#This Row],[Q]],STREAM[],5,0),"-")</f>
        <v>-</v>
      </c>
      <c r="K39" t="str">
        <f>IFERROR(VLOOKUP(M3U[[#This Row],[ID]]&amp;"-"&amp;M3U[[#This Row],[Q]],STREAM[],6,0),"-")</f>
        <v>-</v>
      </c>
      <c r="L39" t="b">
        <v>0</v>
      </c>
    </row>
    <row r="40" spans="1:12" x14ac:dyDescent="0.55000000000000004">
      <c r="A40" t="s">
        <v>179</v>
      </c>
      <c r="B40" s="2" t="s">
        <v>540</v>
      </c>
      <c r="C40" s="8" t="str">
        <f>IF(ISERROR(VLOOKUP(M3U[[#This Row],[TVGID]],GUIDE[[#All],[TVGID]],1,0)),"✗","✓")</f>
        <v>✓</v>
      </c>
      <c r="D40">
        <v>120</v>
      </c>
      <c r="E40" t="s">
        <v>271</v>
      </c>
      <c r="F4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DAAI TV HD</v>
      </c>
      <c r="G40" s="5" t="str">
        <f>IFERROR(IFERROR(VLOOKUP(M3U[[#This Row],[ID]],CHANNEL[#All],4,0),VLOOKUP(M3U[[#This Row],[ID]],CHANNEL_EXT[#All],4,0)),"-")</f>
        <v>https://images.maxstream.tv/sites/default/files/entry/0_wfgm77pv/landscape_carousel_hdpi.webp</v>
      </c>
      <c r="H40" s="4" t="str">
        <f>IFERROR(IFERROR(VLOOKUP(M3U[[#This Row],[ID]],CHANNEL[#All],3,0),VLOOKUP(M3U[[#This Row],[ID]],CHANNEL_EXT[#All],3,0)),"-")</f>
        <v>Local TV</v>
      </c>
      <c r="I40" s="8" t="str">
        <f>IF(ISERROR(VLOOKUP(M3U[[#This Row],[ID]]&amp;"-"&amp;M3U[[#This Row],[Q]],STREAM[[#All],[SID]],1,0)),"✗","✓")</f>
        <v>✗</v>
      </c>
      <c r="J40" t="str">
        <f>IFERROR(VLOOKUP(M3U[[#This Row],[ID]]&amp;"-"&amp;M3U[[#This Row],[Q]],STREAM[],5,0),"-")</f>
        <v>-</v>
      </c>
      <c r="K40" t="str">
        <f>IFERROR(VLOOKUP(M3U[[#This Row],[ID]]&amp;"-"&amp;M3U[[#This Row],[Q]],STREAM[],6,0),"-")</f>
        <v>-</v>
      </c>
      <c r="L40" t="b">
        <v>1</v>
      </c>
    </row>
    <row r="41" spans="1:12" x14ac:dyDescent="0.55000000000000004">
      <c r="A41" t="s">
        <v>167</v>
      </c>
      <c r="B41" s="2" t="s">
        <v>541</v>
      </c>
      <c r="C41" s="8" t="str">
        <f>IF(ISERROR(VLOOKUP(M3U[[#This Row],[TVGID]],GUIDE[[#All],[TVGID]],1,0)),"✗","✓")</f>
        <v>✗</v>
      </c>
      <c r="D41">
        <v>121</v>
      </c>
      <c r="E41" t="s">
        <v>321</v>
      </c>
      <c r="F4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ATV</v>
      </c>
      <c r="G41" s="5" t="str">
        <f>IFERROR(IFERROR(VLOOKUP(M3U[[#This Row],[ID]],CHANNEL[#All],4,0),VLOOKUP(M3U[[#This Row],[ID]],CHANNEL_EXT[#All],4,0)),"-")</f>
        <v>https://images.indihometv.com/images/channels/image_ch_atv.png</v>
      </c>
      <c r="H41" s="4" t="str">
        <f>IFERROR(IFERROR(VLOOKUP(M3U[[#This Row],[ID]],CHANNEL[#All],3,0),VLOOKUP(M3U[[#This Row],[ID]],CHANNEL_EXT[#All],3,0)),"-")</f>
        <v>Lifestyle</v>
      </c>
      <c r="I41" s="8" t="str">
        <f>IF(ISERROR(VLOOKUP(M3U[[#This Row],[ID]]&amp;"-"&amp;M3U[[#This Row],[Q]],STREAM[[#All],[SID]],1,0)),"✗","✓")</f>
        <v>✗</v>
      </c>
      <c r="J41" t="str">
        <f>IFERROR(VLOOKUP(M3U[[#This Row],[ID]]&amp;"-"&amp;M3U[[#This Row],[Q]],STREAM[],5,0),"-")</f>
        <v>-</v>
      </c>
      <c r="K41" t="str">
        <f>IFERROR(VLOOKUP(M3U[[#This Row],[ID]]&amp;"-"&amp;M3U[[#This Row],[Q]],STREAM[],6,0),"-")</f>
        <v>-</v>
      </c>
      <c r="L41" t="b">
        <v>1</v>
      </c>
    </row>
    <row r="42" spans="1:12" x14ac:dyDescent="0.55000000000000004">
      <c r="A42" t="s">
        <v>177</v>
      </c>
      <c r="B42" s="2" t="s">
        <v>542</v>
      </c>
      <c r="C42" s="8" t="str">
        <f>IF(ISERROR(VLOOKUP(M3U[[#This Row],[TVGID]],GUIDE[[#All],[TVGID]],1,0)),"✗","✓")</f>
        <v>✓</v>
      </c>
      <c r="D42">
        <v>122</v>
      </c>
      <c r="E42" t="s">
        <v>321</v>
      </c>
      <c r="F4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Bali TV</v>
      </c>
      <c r="G42" s="5" t="str">
        <f>IFERROR(IFERROR(VLOOKUP(M3U[[#This Row],[ID]],CHANNEL[#All],4,0),VLOOKUP(M3U[[#This Row],[ID]],CHANNEL_EXT[#All],4,0)),"-")</f>
        <v>https://images.indihometv.com/images/channels/image_ch_balitv.png</v>
      </c>
      <c r="H42" s="4" t="str">
        <f>IFERROR(IFERROR(VLOOKUP(M3U[[#This Row],[ID]],CHANNEL[#All],3,0),VLOOKUP(M3U[[#This Row],[ID]],CHANNEL_EXT[#All],3,0)),"-")</f>
        <v>Local</v>
      </c>
      <c r="I42" s="8" t="str">
        <f>IF(ISERROR(VLOOKUP(M3U[[#This Row],[ID]]&amp;"-"&amp;M3U[[#This Row],[Q]],STREAM[[#All],[SID]],1,0)),"✗","✓")</f>
        <v>✗</v>
      </c>
      <c r="J42" t="str">
        <f>IFERROR(VLOOKUP(M3U[[#This Row],[ID]]&amp;"-"&amp;M3U[[#This Row],[Q]],STREAM[],5,0),"-")</f>
        <v>-</v>
      </c>
      <c r="K42" t="str">
        <f>IFERROR(VLOOKUP(M3U[[#This Row],[ID]]&amp;"-"&amp;M3U[[#This Row],[Q]],STREAM[],6,0),"-")</f>
        <v>-</v>
      </c>
      <c r="L42" t="b">
        <v>1</v>
      </c>
    </row>
    <row r="43" spans="1:12" x14ac:dyDescent="0.55000000000000004">
      <c r="A43" t="s">
        <v>188</v>
      </c>
      <c r="B43" s="2" t="s">
        <v>543</v>
      </c>
      <c r="C43" s="8" t="str">
        <f>IF(ISERROR(VLOOKUP(M3U[[#This Row],[TVGID]],GUIDE[[#All],[TVGID]],1,0)),"✗","✓")</f>
        <v>✓</v>
      </c>
      <c r="D43">
        <v>123</v>
      </c>
      <c r="E43" t="s">
        <v>321</v>
      </c>
      <c r="F4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JTV</v>
      </c>
      <c r="G43" s="5" t="str">
        <f>IFERROR(IFERROR(VLOOKUP(M3U[[#This Row],[ID]],CHANNEL[#All],4,0),VLOOKUP(M3U[[#This Row],[ID]],CHANNEL_EXT[#All],4,0)),"-")</f>
        <v>https://images.maxstream.tv/sites/default/files/entry/0_qesewoxv/landscape_carousel_hdpi.webp</v>
      </c>
      <c r="H43" s="4" t="str">
        <f>IFERROR(IFERROR(VLOOKUP(M3U[[#This Row],[ID]],CHANNEL[#All],3,0),VLOOKUP(M3U[[#This Row],[ID]],CHANNEL_EXT[#All],3,0)),"-")</f>
        <v>Local TV</v>
      </c>
      <c r="I43" s="8" t="str">
        <f>IF(ISERROR(VLOOKUP(M3U[[#This Row],[ID]]&amp;"-"&amp;M3U[[#This Row],[Q]],STREAM[[#All],[SID]],1,0)),"✗","✓")</f>
        <v>✗</v>
      </c>
      <c r="J43" t="str">
        <f>IFERROR(VLOOKUP(M3U[[#This Row],[ID]]&amp;"-"&amp;M3U[[#This Row],[Q]],STREAM[],5,0),"-")</f>
        <v>-</v>
      </c>
      <c r="K43" t="str">
        <f>IFERROR(VLOOKUP(M3U[[#This Row],[ID]]&amp;"-"&amp;M3U[[#This Row],[Q]],STREAM[],6,0),"-")</f>
        <v>-</v>
      </c>
      <c r="L43" t="b">
        <v>1</v>
      </c>
    </row>
    <row r="44" spans="1:12" hidden="1" x14ac:dyDescent="0.55000000000000004">
      <c r="A44" t="s">
        <v>878</v>
      </c>
      <c r="B44" s="2" t="s">
        <v>544</v>
      </c>
      <c r="C44" s="8" t="str">
        <f>IF(ISERROR(VLOOKUP(M3U[[#This Row],[TVGID]],GUIDE[[#All],[TVGID]],1,0)),"✗","✓")</f>
        <v>✓</v>
      </c>
      <c r="D44">
        <v>124</v>
      </c>
      <c r="E44" t="s">
        <v>321</v>
      </c>
      <c r="F4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ANTARA TV</v>
      </c>
      <c r="G44" s="5" t="str">
        <f>IFERROR(IFERROR(VLOOKUP(M3U[[#This Row],[ID]],CHANNEL[#All],4,0),VLOOKUP(M3U[[#This Row],[ID]],CHANNEL_EXT[#All],4,0)),"-")</f>
        <v>https://images.maxstream.tv/sites/default/files/entry/0_3n2pn24p/landscape_carousel_hdpi.webp</v>
      </c>
      <c r="H44" s="4" t="str">
        <f>IFERROR(IFERROR(VLOOKUP(M3U[[#This Row],[ID]],CHANNEL[#All],3,0),VLOOKUP(M3U[[#This Row],[ID]],CHANNEL_EXT[#All],3,0)),"-")</f>
        <v>Local TV</v>
      </c>
      <c r="I44" s="8" t="str">
        <f>IF(ISERROR(VLOOKUP(M3U[[#This Row],[ID]]&amp;"-"&amp;M3U[[#This Row],[Q]],STREAM[[#All],[SID]],1,0)),"✗","✓")</f>
        <v>✗</v>
      </c>
      <c r="J44" t="str">
        <f>IFERROR(VLOOKUP(M3U[[#This Row],[ID]]&amp;"-"&amp;M3U[[#This Row],[Q]],STREAM[],5,0),"-")</f>
        <v>-</v>
      </c>
      <c r="K44" t="str">
        <f>IFERROR(VLOOKUP(M3U[[#This Row],[ID]]&amp;"-"&amp;M3U[[#This Row],[Q]],STREAM[],6,0),"-")</f>
        <v>-</v>
      </c>
      <c r="L44" t="b">
        <v>0</v>
      </c>
    </row>
    <row r="45" spans="1:12" x14ac:dyDescent="0.55000000000000004">
      <c r="A45" t="s">
        <v>878</v>
      </c>
      <c r="B45" s="2" t="s">
        <v>544</v>
      </c>
      <c r="C45" s="8" t="str">
        <f>IF(ISERROR(VLOOKUP(M3U[[#This Row],[TVGID]],GUIDE[[#All],[TVGID]],1,0)),"✗","✓")</f>
        <v>✓</v>
      </c>
      <c r="D45">
        <v>124</v>
      </c>
      <c r="E45" t="s">
        <v>271</v>
      </c>
      <c r="F4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ANTARA TV HD</v>
      </c>
      <c r="G45" s="5" t="str">
        <f>IFERROR(IFERROR(VLOOKUP(M3U[[#This Row],[ID]],CHANNEL[#All],4,0),VLOOKUP(M3U[[#This Row],[ID]],CHANNEL_EXT[#All],4,0)),"-")</f>
        <v>https://images.maxstream.tv/sites/default/files/entry/0_3n2pn24p/landscape_carousel_hdpi.webp</v>
      </c>
      <c r="H45" s="4" t="str">
        <f>IFERROR(IFERROR(VLOOKUP(M3U[[#This Row],[ID]],CHANNEL[#All],3,0),VLOOKUP(M3U[[#This Row],[ID]],CHANNEL_EXT[#All],3,0)),"-")</f>
        <v>Local TV</v>
      </c>
      <c r="I45" s="8" t="str">
        <f>IF(ISERROR(VLOOKUP(M3U[[#This Row],[ID]]&amp;"-"&amp;M3U[[#This Row],[Q]],STREAM[[#All],[SID]],1,0)),"✗","✓")</f>
        <v>✗</v>
      </c>
      <c r="J45" t="str">
        <f>IFERROR(VLOOKUP(M3U[[#This Row],[ID]]&amp;"-"&amp;M3U[[#This Row],[Q]],STREAM[],5,0),"-")</f>
        <v>-</v>
      </c>
      <c r="K45" t="str">
        <f>IFERROR(VLOOKUP(M3U[[#This Row],[ID]]&amp;"-"&amp;M3U[[#This Row],[Q]],STREAM[],6,0),"-")</f>
        <v>-</v>
      </c>
      <c r="L45" t="b">
        <v>1</v>
      </c>
    </row>
    <row r="46" spans="1:12" hidden="1" x14ac:dyDescent="0.55000000000000004">
      <c r="A46" t="s">
        <v>802</v>
      </c>
      <c r="B46" s="2" t="s">
        <v>545</v>
      </c>
      <c r="C46" s="8" t="str">
        <f>IF(ISERROR(VLOOKUP(M3U[[#This Row],[TVGID]],GUIDE[[#All],[TVGID]],1,0)),"✗","✓")</f>
        <v>✓</v>
      </c>
      <c r="D46">
        <v>125</v>
      </c>
      <c r="E46" t="s">
        <v>321</v>
      </c>
      <c r="F4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Moji</v>
      </c>
      <c r="G46" s="5" t="str">
        <f>IFERROR(IFERROR(VLOOKUP(M3U[[#This Row],[ID]],CHANNEL[#All],4,0),VLOOKUP(M3U[[#This Row],[ID]],CHANNEL_EXT[#All],4,0)),"-")</f>
        <v>https://images.maxstream.tv/sites/default/files/entry/0_o6n0u3cx/landscape_carousel_hdpi.webp</v>
      </c>
      <c r="H46" s="4" t="str">
        <f>IFERROR(IFERROR(VLOOKUP(M3U[[#This Row],[ID]],CHANNEL[#All],3,0),VLOOKUP(M3U[[#This Row],[ID]],CHANNEL_EXT[#All],3,0)),"-")</f>
        <v>Local TV</v>
      </c>
      <c r="I46" s="8" t="str">
        <f>IF(ISERROR(VLOOKUP(M3U[[#This Row],[ID]]&amp;"-"&amp;M3U[[#This Row],[Q]],STREAM[[#All],[SID]],1,0)),"✗","✓")</f>
        <v>✗</v>
      </c>
      <c r="J46" t="str">
        <f>IFERROR(VLOOKUP(M3U[[#This Row],[ID]]&amp;"-"&amp;M3U[[#This Row],[Q]],STREAM[],5,0),"-")</f>
        <v>-</v>
      </c>
      <c r="K46" t="str">
        <f>IFERROR(VLOOKUP(M3U[[#This Row],[ID]]&amp;"-"&amp;M3U[[#This Row],[Q]],STREAM[],6,0),"-")</f>
        <v>-</v>
      </c>
      <c r="L46" t="b">
        <v>0</v>
      </c>
    </row>
    <row r="47" spans="1:12" x14ac:dyDescent="0.55000000000000004">
      <c r="A47" t="s">
        <v>802</v>
      </c>
      <c r="B47" s="2" t="s">
        <v>545</v>
      </c>
      <c r="C47" s="8" t="str">
        <f>IF(ISERROR(VLOOKUP(M3U[[#This Row],[TVGID]],GUIDE[[#All],[TVGID]],1,0)),"✗","✓")</f>
        <v>✓</v>
      </c>
      <c r="D47">
        <v>125</v>
      </c>
      <c r="E47" t="s">
        <v>271</v>
      </c>
      <c r="F4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Moji HD</v>
      </c>
      <c r="G47" s="5" t="str">
        <f>IFERROR(IFERROR(VLOOKUP(M3U[[#This Row],[ID]],CHANNEL[#All],4,0),VLOOKUP(M3U[[#This Row],[ID]],CHANNEL_EXT[#All],4,0)),"-")</f>
        <v>https://images.maxstream.tv/sites/default/files/entry/0_o6n0u3cx/landscape_carousel_hdpi.webp</v>
      </c>
      <c r="H47" s="4" t="str">
        <f>IFERROR(IFERROR(VLOOKUP(M3U[[#This Row],[ID]],CHANNEL[#All],3,0),VLOOKUP(M3U[[#This Row],[ID]],CHANNEL_EXT[#All],3,0)),"-")</f>
        <v>Local TV</v>
      </c>
      <c r="I47" s="8" t="str">
        <f>IF(ISERROR(VLOOKUP(M3U[[#This Row],[ID]]&amp;"-"&amp;M3U[[#This Row],[Q]],STREAM[[#All],[SID]],1,0)),"✗","✓")</f>
        <v>✗</v>
      </c>
      <c r="J47" t="str">
        <f>IFERROR(VLOOKUP(M3U[[#This Row],[ID]]&amp;"-"&amp;M3U[[#This Row],[Q]],STREAM[],5,0),"-")</f>
        <v>-</v>
      </c>
      <c r="K47" t="str">
        <f>IFERROR(VLOOKUP(M3U[[#This Row],[ID]]&amp;"-"&amp;M3U[[#This Row],[Q]],STREAM[],6,0),"-")</f>
        <v>-</v>
      </c>
      <c r="L47" t="b">
        <v>1</v>
      </c>
    </row>
    <row r="48" spans="1:12" x14ac:dyDescent="0.55000000000000004">
      <c r="A48" t="s">
        <v>192</v>
      </c>
      <c r="B48" s="2" t="s">
        <v>546</v>
      </c>
      <c r="C48" s="8" t="str">
        <f>IF(ISERROR(VLOOKUP(M3U[[#This Row],[TVGID]],GUIDE[[#All],[TVGID]],1,0)),"✗","✓")</f>
        <v>✓</v>
      </c>
      <c r="D48">
        <v>128</v>
      </c>
      <c r="E48" t="s">
        <v>271</v>
      </c>
      <c r="F4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Nusantara TV HD</v>
      </c>
      <c r="G48" s="5" t="str">
        <f>IFERROR(IFERROR(VLOOKUP(M3U[[#This Row],[ID]],CHANNEL[#All],4,0),VLOOKUP(M3U[[#This Row],[ID]],CHANNEL_EXT[#All],4,0)),"-")</f>
        <v>https://images.indihometv.com/images/channels/image_ch_nusantaratv.png</v>
      </c>
      <c r="H48" s="4" t="str">
        <f>IFERROR(IFERROR(VLOOKUP(M3U[[#This Row],[ID]],CHANNEL[#All],3,0),VLOOKUP(M3U[[#This Row],[ID]],CHANNEL_EXT[#All],3,0)),"-")</f>
        <v>Local</v>
      </c>
      <c r="I48" s="8" t="str">
        <f>IF(ISERROR(VLOOKUP(M3U[[#This Row],[ID]]&amp;"-"&amp;M3U[[#This Row],[Q]],STREAM[[#All],[SID]],1,0)),"✗","✓")</f>
        <v>✗</v>
      </c>
      <c r="J48" t="str">
        <f>IFERROR(VLOOKUP(M3U[[#This Row],[ID]]&amp;"-"&amp;M3U[[#This Row],[Q]],STREAM[],5,0),"-")</f>
        <v>-</v>
      </c>
      <c r="K48" t="str">
        <f>IFERROR(VLOOKUP(M3U[[#This Row],[ID]]&amp;"-"&amp;M3U[[#This Row],[Q]],STREAM[],6,0),"-")</f>
        <v>-</v>
      </c>
      <c r="L48" t="b">
        <v>1</v>
      </c>
    </row>
    <row r="49" spans="1:12" hidden="1" x14ac:dyDescent="0.55000000000000004">
      <c r="A49" t="s">
        <v>183</v>
      </c>
      <c r="B49" s="2" t="s">
        <v>547</v>
      </c>
      <c r="C49" s="8" t="str">
        <f>IF(ISERROR(VLOOKUP(M3U[[#This Row],[TVGID]],GUIDE[[#All],[TVGID]],1,0)),"✗","✓")</f>
        <v>✓</v>
      </c>
      <c r="D49">
        <v>129</v>
      </c>
      <c r="E49" t="s">
        <v>321</v>
      </c>
      <c r="F4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Inews</v>
      </c>
      <c r="G49" s="5" t="str">
        <f>IFERROR(IFERROR(VLOOKUP(M3U[[#This Row],[ID]],CHANNEL[#All],4,0),VLOOKUP(M3U[[#This Row],[ID]],CHANNEL_EXT[#All],4,0)),"-")</f>
        <v>https://images.maxstream.tv/sites/default/files/entry/0_fn0qos3d/landscape_carousel_hdpi.webp</v>
      </c>
      <c r="H49" s="4" t="str">
        <f>IFERROR(IFERROR(VLOOKUP(M3U[[#This Row],[ID]],CHANNEL[#All],3,0),VLOOKUP(M3U[[#This Row],[ID]],CHANNEL_EXT[#All],3,0)),"-")</f>
        <v>Local TV</v>
      </c>
      <c r="I49" s="8" t="str">
        <f>IF(ISERROR(VLOOKUP(M3U[[#This Row],[ID]]&amp;"-"&amp;M3U[[#This Row],[Q]],STREAM[[#All],[SID]],1,0)),"✗","✓")</f>
        <v>✗</v>
      </c>
      <c r="J49" t="str">
        <f>IFERROR(VLOOKUP(M3U[[#This Row],[ID]]&amp;"-"&amp;M3U[[#This Row],[Q]],STREAM[],5,0),"-")</f>
        <v>-</v>
      </c>
      <c r="K49" t="str">
        <f>IFERROR(VLOOKUP(M3U[[#This Row],[ID]]&amp;"-"&amp;M3U[[#This Row],[Q]],STREAM[],6,0),"-")</f>
        <v>-</v>
      </c>
      <c r="L49" t="b">
        <v>0</v>
      </c>
    </row>
    <row r="50" spans="1:12" x14ac:dyDescent="0.55000000000000004">
      <c r="A50" t="s">
        <v>183</v>
      </c>
      <c r="B50" s="2" t="s">
        <v>916</v>
      </c>
      <c r="C50" s="8" t="str">
        <f>IF(ISERROR(VLOOKUP(M3U[[#This Row],[TVGID]],GUIDE[[#All],[TVGID]],1,0)),"✗","✓")</f>
        <v>✓</v>
      </c>
      <c r="D50">
        <v>129</v>
      </c>
      <c r="E50" t="s">
        <v>271</v>
      </c>
      <c r="F5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Inews HD</v>
      </c>
      <c r="G50" s="5" t="str">
        <f>IFERROR(IFERROR(VLOOKUP(M3U[[#This Row],[ID]],CHANNEL[#All],4,0),VLOOKUP(M3U[[#This Row],[ID]],CHANNEL_EXT[#All],4,0)),"-")</f>
        <v>https://images.maxstream.tv/sites/default/files/entry/0_fn0qos3d/landscape_carousel_hdpi.webp</v>
      </c>
      <c r="H50" s="4" t="str">
        <f>IFERROR(IFERROR(VLOOKUP(M3U[[#This Row],[ID]],CHANNEL[#All],3,0),VLOOKUP(M3U[[#This Row],[ID]],CHANNEL_EXT[#All],3,0)),"-")</f>
        <v>Local TV</v>
      </c>
      <c r="I50" s="8" t="str">
        <f>IF(ISERROR(VLOOKUP(M3U[[#This Row],[ID]]&amp;"-"&amp;M3U[[#This Row],[Q]],STREAM[[#All],[SID]],1,0)),"✗","✓")</f>
        <v>✗</v>
      </c>
      <c r="J50" t="str">
        <f>IFERROR(VLOOKUP(M3U[[#This Row],[ID]]&amp;"-"&amp;M3U[[#This Row],[Q]],STREAM[],5,0),"-")</f>
        <v>-</v>
      </c>
      <c r="K50" t="str">
        <f>IFERROR(VLOOKUP(M3U[[#This Row],[ID]]&amp;"-"&amp;M3U[[#This Row],[Q]],STREAM[],6,0),"-")</f>
        <v>-</v>
      </c>
      <c r="L50" t="b">
        <v>1</v>
      </c>
    </row>
    <row r="51" spans="1:12" x14ac:dyDescent="0.55000000000000004">
      <c r="A51" t="s">
        <v>890</v>
      </c>
      <c r="B51" s="2" t="s">
        <v>548</v>
      </c>
      <c r="C51" s="8" t="str">
        <f>IF(ISERROR(VLOOKUP(M3U[[#This Row],[TVGID]],GUIDE[[#All],[TVGID]],1,0)),"✗","✓")</f>
        <v>✓</v>
      </c>
      <c r="D51">
        <v>132</v>
      </c>
      <c r="E51" t="s">
        <v>271</v>
      </c>
      <c r="F5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Jawa Pos TV HD</v>
      </c>
      <c r="G51" s="5" t="str">
        <f>IFERROR(IFERROR(VLOOKUP(M3U[[#This Row],[ID]],CHANNEL[#All],4,0),VLOOKUP(M3U[[#This Row],[ID]],CHANNEL_EXT[#All],4,0)),"-")</f>
        <v>https://images.maxstream.tv/sites/default/files/entry/0_lrp6fabo/landscape_carousel_hdpi.webp</v>
      </c>
      <c r="H51" s="4" t="str">
        <f>IFERROR(IFERROR(VLOOKUP(M3U[[#This Row],[ID]],CHANNEL[#All],3,0),VLOOKUP(M3U[[#This Row],[ID]],CHANNEL_EXT[#All],3,0)),"-")</f>
        <v>Local TV</v>
      </c>
      <c r="I51" s="8" t="str">
        <f>IF(ISERROR(VLOOKUP(M3U[[#This Row],[ID]]&amp;"-"&amp;M3U[[#This Row],[Q]],STREAM[[#All],[SID]],1,0)),"✗","✓")</f>
        <v>✗</v>
      </c>
      <c r="J51" t="str">
        <f>IFERROR(VLOOKUP(M3U[[#This Row],[ID]]&amp;"-"&amp;M3U[[#This Row],[Q]],STREAM[],5,0),"-")</f>
        <v>-</v>
      </c>
      <c r="K51" t="str">
        <f>IFERROR(VLOOKUP(M3U[[#This Row],[ID]]&amp;"-"&amp;M3U[[#This Row],[Q]],STREAM[],6,0),"-")</f>
        <v>-</v>
      </c>
      <c r="L51" t="b">
        <v>1</v>
      </c>
    </row>
    <row r="52" spans="1:12" x14ac:dyDescent="0.55000000000000004">
      <c r="A52" t="s">
        <v>899</v>
      </c>
      <c r="B52" s="2" t="s">
        <v>549</v>
      </c>
      <c r="C52" s="8" t="str">
        <f>IF(ISERROR(VLOOKUP(M3U[[#This Row],[TVGID]],GUIDE[[#All],[TVGID]],1,0)),"✗","✓")</f>
        <v>✓</v>
      </c>
      <c r="D52">
        <v>134</v>
      </c>
      <c r="E52" t="s">
        <v>321</v>
      </c>
      <c r="F5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Sindo News</v>
      </c>
      <c r="G52" s="5" t="str">
        <f>IFERROR(IFERROR(VLOOKUP(M3U[[#This Row],[ID]],CHANNEL[#All],4,0),VLOOKUP(M3U[[#This Row],[ID]],CHANNEL_EXT[#All],4,0)),"-")</f>
        <v>https://images.maxstream.tv/sites/default/files/entry/0_nhoeiawb/landscape_carousel_hdpi.webp</v>
      </c>
      <c r="H52" s="4" t="str">
        <f>IFERROR(IFERROR(VLOOKUP(M3U[[#This Row],[ID]],CHANNEL[#All],3,0),VLOOKUP(M3U[[#This Row],[ID]],CHANNEL_EXT[#All],3,0)),"-")</f>
        <v>Local TV</v>
      </c>
      <c r="I52" s="8" t="str">
        <f>IF(ISERROR(VLOOKUP(M3U[[#This Row],[ID]]&amp;"-"&amp;M3U[[#This Row],[Q]],STREAM[[#All],[SID]],1,0)),"✗","✓")</f>
        <v>✗</v>
      </c>
      <c r="J52" t="str">
        <f>IFERROR(VLOOKUP(M3U[[#This Row],[ID]]&amp;"-"&amp;M3U[[#This Row],[Q]],STREAM[],5,0),"-")</f>
        <v>-</v>
      </c>
      <c r="K52" t="str">
        <f>IFERROR(VLOOKUP(M3U[[#This Row],[ID]]&amp;"-"&amp;M3U[[#This Row],[Q]],STREAM[],6,0),"-")</f>
        <v>-</v>
      </c>
      <c r="L52" t="b">
        <v>1</v>
      </c>
    </row>
    <row r="53" spans="1:12" hidden="1" x14ac:dyDescent="0.55000000000000004">
      <c r="A53" t="s">
        <v>234</v>
      </c>
      <c r="B53" s="2" t="s">
        <v>550</v>
      </c>
      <c r="C53" s="8" t="str">
        <f>IF(ISERROR(VLOOKUP(M3U[[#This Row],[TVGID]],GUIDE[[#All],[TVGID]],1,0)),"✗","✓")</f>
        <v>✓</v>
      </c>
      <c r="D53">
        <v>135</v>
      </c>
      <c r="E53" t="s">
        <v>321</v>
      </c>
      <c r="F5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CNBC Indonesia</v>
      </c>
      <c r="G53" s="5" t="str">
        <f>IFERROR(IFERROR(VLOOKUP(M3U[[#This Row],[ID]],CHANNEL[#All],4,0),VLOOKUP(M3U[[#This Row],[ID]],CHANNEL_EXT[#All],4,0)),"-")</f>
        <v>https://images.maxstream.tv/sites/default/files/entry/0_do3tuwa9/landscape_carousel_hdpi.webp</v>
      </c>
      <c r="H53" s="4" t="str">
        <f>IFERROR(IFERROR(VLOOKUP(M3U[[#This Row],[ID]],CHANNEL[#All],3,0),VLOOKUP(M3U[[#This Row],[ID]],CHANNEL_EXT[#All],3,0)),"-")</f>
        <v>Local TV</v>
      </c>
      <c r="I53" s="8" t="str">
        <f>IF(ISERROR(VLOOKUP(M3U[[#This Row],[ID]]&amp;"-"&amp;M3U[[#This Row],[Q]],STREAM[[#All],[SID]],1,0)),"✗","✓")</f>
        <v>✗</v>
      </c>
      <c r="J53" t="str">
        <f>IFERROR(VLOOKUP(M3U[[#This Row],[ID]]&amp;"-"&amp;M3U[[#This Row],[Q]],STREAM[],5,0),"-")</f>
        <v>-</v>
      </c>
      <c r="K53" t="str">
        <f>IFERROR(VLOOKUP(M3U[[#This Row],[ID]]&amp;"-"&amp;M3U[[#This Row],[Q]],STREAM[],6,0),"-")</f>
        <v>-</v>
      </c>
      <c r="L53" t="b">
        <v>0</v>
      </c>
    </row>
    <row r="54" spans="1:12" x14ac:dyDescent="0.55000000000000004">
      <c r="A54" t="s">
        <v>234</v>
      </c>
      <c r="B54" s="2" t="s">
        <v>550</v>
      </c>
      <c r="C54" s="8" t="str">
        <f>IF(ISERROR(VLOOKUP(M3U[[#This Row],[TVGID]],GUIDE[[#All],[TVGID]],1,0)),"✗","✓")</f>
        <v>✓</v>
      </c>
      <c r="D54">
        <v>135</v>
      </c>
      <c r="E54" t="s">
        <v>271</v>
      </c>
      <c r="F5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CNBC Indonesia HD</v>
      </c>
      <c r="G54" s="5" t="str">
        <f>IFERROR(IFERROR(VLOOKUP(M3U[[#This Row],[ID]],CHANNEL[#All],4,0),VLOOKUP(M3U[[#This Row],[ID]],CHANNEL_EXT[#All],4,0)),"-")</f>
        <v>https://images.maxstream.tv/sites/default/files/entry/0_do3tuwa9/landscape_carousel_hdpi.webp</v>
      </c>
      <c r="H54" s="4" t="str">
        <f>IFERROR(IFERROR(VLOOKUP(M3U[[#This Row],[ID]],CHANNEL[#All],3,0),VLOOKUP(M3U[[#This Row],[ID]],CHANNEL_EXT[#All],3,0)),"-")</f>
        <v>Local TV</v>
      </c>
      <c r="I54" s="8" t="str">
        <f>IF(ISERROR(VLOOKUP(M3U[[#This Row],[ID]]&amp;"-"&amp;M3U[[#This Row],[Q]],STREAM[[#All],[SID]],1,0)),"✗","✓")</f>
        <v>✗</v>
      </c>
      <c r="J54" t="str">
        <f>IFERROR(VLOOKUP(M3U[[#This Row],[ID]]&amp;"-"&amp;M3U[[#This Row],[Q]],STREAM[],5,0),"-")</f>
        <v>-</v>
      </c>
      <c r="K54" t="str">
        <f>IFERROR(VLOOKUP(M3U[[#This Row],[ID]]&amp;"-"&amp;M3U[[#This Row],[Q]],STREAM[],6,0),"-")</f>
        <v>-</v>
      </c>
      <c r="L54" t="b">
        <v>1</v>
      </c>
    </row>
    <row r="55" spans="1:12" hidden="1" x14ac:dyDescent="0.55000000000000004">
      <c r="A55" t="s">
        <v>2237</v>
      </c>
      <c r="B55" s="2" t="s">
        <v>551</v>
      </c>
      <c r="C55" s="8" t="str">
        <f>IF(ISERROR(VLOOKUP(M3U[[#This Row],[TVGID]],GUIDE[[#All],[TVGID]],1,0)),"✗","✓")</f>
        <v>✓</v>
      </c>
      <c r="D55">
        <v>137</v>
      </c>
      <c r="E55" t="s">
        <v>321</v>
      </c>
      <c r="F5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CHANNEL JOWO</v>
      </c>
      <c r="G55" s="5" t="str">
        <f>IFERROR(IFERROR(VLOOKUP(M3U[[#This Row],[ID]],CHANNEL[#All],4,0),VLOOKUP(M3U[[#This Row],[ID]],CHANNEL_EXT[#All],4,0)),"-")</f>
        <v>https://images.maxstream.tv/sites/default/files/entry/0_9yojwrwz/landscape_carousel_hdpi.webp</v>
      </c>
      <c r="H55" s="4" t="str">
        <f>IFERROR(IFERROR(VLOOKUP(M3U[[#This Row],[ID]],CHANNEL[#All],3,0),VLOOKUP(M3U[[#This Row],[ID]],CHANNEL_EXT[#All],3,0)),"-")</f>
        <v>Local TV</v>
      </c>
      <c r="I55" s="8" t="str">
        <f>IF(ISERROR(VLOOKUP(M3U[[#This Row],[ID]]&amp;"-"&amp;M3U[[#This Row],[Q]],STREAM[[#All],[SID]],1,0)),"✗","✓")</f>
        <v>✗</v>
      </c>
      <c r="J55" t="str">
        <f>IFERROR(VLOOKUP(M3U[[#This Row],[ID]]&amp;"-"&amp;M3U[[#This Row],[Q]],STREAM[],5,0),"-")</f>
        <v>-</v>
      </c>
      <c r="K55" t="str">
        <f>IFERROR(VLOOKUP(M3U[[#This Row],[ID]]&amp;"-"&amp;M3U[[#This Row],[Q]],STREAM[],6,0),"-")</f>
        <v>-</v>
      </c>
      <c r="L55" t="b">
        <v>0</v>
      </c>
    </row>
    <row r="56" spans="1:12" x14ac:dyDescent="0.55000000000000004">
      <c r="A56" t="s">
        <v>2237</v>
      </c>
      <c r="B56" s="2" t="s">
        <v>551</v>
      </c>
      <c r="C56" s="8" t="str">
        <f>IF(ISERROR(VLOOKUP(M3U[[#This Row],[TVGID]],GUIDE[[#All],[TVGID]],1,0)),"✗","✓")</f>
        <v>✓</v>
      </c>
      <c r="D56">
        <v>137</v>
      </c>
      <c r="E56" t="s">
        <v>271</v>
      </c>
      <c r="F5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CHANNEL JOWO HD</v>
      </c>
      <c r="G56" s="5" t="str">
        <f>IFERROR(IFERROR(VLOOKUP(M3U[[#This Row],[ID]],CHANNEL[#All],4,0),VLOOKUP(M3U[[#This Row],[ID]],CHANNEL_EXT[#All],4,0)),"-")</f>
        <v>https://images.maxstream.tv/sites/default/files/entry/0_9yojwrwz/landscape_carousel_hdpi.webp</v>
      </c>
      <c r="H56" s="4" t="str">
        <f>IFERROR(IFERROR(VLOOKUP(M3U[[#This Row],[ID]],CHANNEL[#All],3,0),VLOOKUP(M3U[[#This Row],[ID]],CHANNEL_EXT[#All],3,0)),"-")</f>
        <v>Local TV</v>
      </c>
      <c r="I56" s="8" t="str">
        <f>IF(ISERROR(VLOOKUP(M3U[[#This Row],[ID]]&amp;"-"&amp;M3U[[#This Row],[Q]],STREAM[[#All],[SID]],1,0)),"✗","✓")</f>
        <v>✗</v>
      </c>
      <c r="J56" t="str">
        <f>IFERROR(VLOOKUP(M3U[[#This Row],[ID]]&amp;"-"&amp;M3U[[#This Row],[Q]],STREAM[],5,0),"-")</f>
        <v>-</v>
      </c>
      <c r="K56" t="str">
        <f>IFERROR(VLOOKUP(M3U[[#This Row],[ID]]&amp;"-"&amp;M3U[[#This Row],[Q]],STREAM[],6,0),"-")</f>
        <v>-</v>
      </c>
      <c r="L56" t="b">
        <v>1</v>
      </c>
    </row>
    <row r="57" spans="1:12" x14ac:dyDescent="0.55000000000000004">
      <c r="A57" t="s">
        <v>518</v>
      </c>
      <c r="B57" s="2" t="s">
        <v>638</v>
      </c>
      <c r="C57" s="8" t="str">
        <f>IF(ISERROR(VLOOKUP(M3U[[#This Row],[TVGID]],GUIDE[[#All],[TVGID]],1,0)),"✗","✓")</f>
        <v>✓</v>
      </c>
      <c r="D57">
        <v>138</v>
      </c>
      <c r="E57" t="s">
        <v>271</v>
      </c>
      <c r="F5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TVRI World HD</v>
      </c>
      <c r="G57" s="5" t="str">
        <f>IFERROR(IFERROR(VLOOKUP(M3U[[#This Row],[ID]],CHANNEL[#All],4,0),VLOOKUP(M3U[[#This Row],[ID]],CHANNEL_EXT[#All],4,0)),"-")</f>
        <v>https://images.maxstream.tv/sites/default/files/entry/0_iu9ah7cu/landscape_carousel_hdpi.webp</v>
      </c>
      <c r="H57" s="4" t="str">
        <f>IFERROR(IFERROR(VLOOKUP(M3U[[#This Row],[ID]],CHANNEL[#All],3,0),VLOOKUP(M3U[[#This Row],[ID]],CHANNEL_EXT[#All],3,0)),"-")</f>
        <v>Local TV</v>
      </c>
      <c r="I57" s="8" t="str">
        <f>IF(ISERROR(VLOOKUP(M3U[[#This Row],[ID]]&amp;"-"&amp;M3U[[#This Row],[Q]],STREAM[[#All],[SID]],1,0)),"✗","✓")</f>
        <v>✗</v>
      </c>
      <c r="J57" t="str">
        <f>IFERROR(VLOOKUP(M3U[[#This Row],[ID]]&amp;"-"&amp;M3U[[#This Row],[Q]],STREAM[],5,0),"-")</f>
        <v>-</v>
      </c>
      <c r="K57" t="str">
        <f>IFERROR(VLOOKUP(M3U[[#This Row],[ID]]&amp;"-"&amp;M3U[[#This Row],[Q]],STREAM[],6,0),"-")</f>
        <v>-</v>
      </c>
      <c r="L57" t="b">
        <v>1</v>
      </c>
    </row>
    <row r="58" spans="1:12" x14ac:dyDescent="0.55000000000000004">
      <c r="A58" t="s">
        <v>510</v>
      </c>
      <c r="B58" s="2" t="s">
        <v>639</v>
      </c>
      <c r="C58" s="8" t="str">
        <f>IF(ISERROR(VLOOKUP(M3U[[#This Row],[TVGID]],GUIDE[[#All],[TVGID]],1,0)),"✗","✓")</f>
        <v>✓</v>
      </c>
      <c r="D58">
        <v>139</v>
      </c>
      <c r="E58" t="s">
        <v>271</v>
      </c>
      <c r="F5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RCTI HD</v>
      </c>
      <c r="G58" s="5" t="str">
        <f>IFERROR(IFERROR(VLOOKUP(M3U[[#This Row],[ID]],CHANNEL[#All],4,0),VLOOKUP(M3U[[#This Row],[ID]],CHANNEL_EXT[#All],4,0)),"-")</f>
        <v>https://images.maxstream.tv/sites/default/files/entry/0_nwsd3m5r/landscape_carousel_hdpi.webp</v>
      </c>
      <c r="H58" s="4" t="str">
        <f>IFERROR(IFERROR(VLOOKUP(M3U[[#This Row],[ID]],CHANNEL[#All],3,0),VLOOKUP(M3U[[#This Row],[ID]],CHANNEL_EXT[#All],3,0)),"-")</f>
        <v>Local TV</v>
      </c>
      <c r="I58" s="8" t="str">
        <f>IF(ISERROR(VLOOKUP(M3U[[#This Row],[ID]]&amp;"-"&amp;M3U[[#This Row],[Q]],STREAM[[#All],[SID]],1,0)),"✗","✓")</f>
        <v>✗</v>
      </c>
      <c r="J58" t="str">
        <f>IFERROR(VLOOKUP(M3U[[#This Row],[ID]]&amp;"-"&amp;M3U[[#This Row],[Q]],STREAM[],5,0),"-")</f>
        <v>-</v>
      </c>
      <c r="K58" t="str">
        <f>IFERROR(VLOOKUP(M3U[[#This Row],[ID]]&amp;"-"&amp;M3U[[#This Row],[Q]],STREAM[],6,0),"-")</f>
        <v>-</v>
      </c>
      <c r="L58" t="b">
        <v>1</v>
      </c>
    </row>
    <row r="59" spans="1:12" x14ac:dyDescent="0.55000000000000004">
      <c r="A59" t="s">
        <v>507</v>
      </c>
      <c r="B59" s="2" t="s">
        <v>649</v>
      </c>
      <c r="C59" s="8" t="str">
        <f>IF(ISERROR(VLOOKUP(M3U[[#This Row],[TVGID]],GUIDE[[#All],[TVGID]],1,0)),"✗","✓")</f>
        <v>✓</v>
      </c>
      <c r="D59">
        <v>140</v>
      </c>
      <c r="E59" t="s">
        <v>271</v>
      </c>
      <c r="F5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MNC TV HD</v>
      </c>
      <c r="G59" s="5" t="str">
        <f>IFERROR(IFERROR(VLOOKUP(M3U[[#This Row],[ID]],CHANNEL[#All],4,0),VLOOKUP(M3U[[#This Row],[ID]],CHANNEL_EXT[#All],4,0)),"-")</f>
        <v>https://images.maxstream.tv/sites/default/files/entry/0_3k1552mp/landscape_carousel_hdpi.webp</v>
      </c>
      <c r="H59" s="4" t="str">
        <f>IFERROR(IFERROR(VLOOKUP(M3U[[#This Row],[ID]],CHANNEL[#All],3,0),VLOOKUP(M3U[[#This Row],[ID]],CHANNEL_EXT[#All],3,0)),"-")</f>
        <v>Local TV</v>
      </c>
      <c r="I59" s="8" t="str">
        <f>IF(ISERROR(VLOOKUP(M3U[[#This Row],[ID]]&amp;"-"&amp;M3U[[#This Row],[Q]],STREAM[[#All],[SID]],1,0)),"✗","✓")</f>
        <v>✗</v>
      </c>
      <c r="J59" t="str">
        <f>IFERROR(VLOOKUP(M3U[[#This Row],[ID]]&amp;"-"&amp;M3U[[#This Row],[Q]],STREAM[],5,0),"-")</f>
        <v>-</v>
      </c>
      <c r="K59" t="str">
        <f>IFERROR(VLOOKUP(M3U[[#This Row],[ID]]&amp;"-"&amp;M3U[[#This Row],[Q]],STREAM[],6,0),"-")</f>
        <v>-</v>
      </c>
      <c r="L59" t="b">
        <v>1</v>
      </c>
    </row>
    <row r="60" spans="1:12" x14ac:dyDescent="0.55000000000000004">
      <c r="A60" t="s">
        <v>752</v>
      </c>
      <c r="B60" s="2" t="s">
        <v>640</v>
      </c>
      <c r="C60" s="8" t="str">
        <f>IF(ISERROR(VLOOKUP(M3U[[#This Row],[TVGID]],GUIDE[[#All],[TVGID]],1,0)),"✗","✓")</f>
        <v>✓</v>
      </c>
      <c r="D60">
        <v>141</v>
      </c>
      <c r="E60" t="s">
        <v>271</v>
      </c>
      <c r="F6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GTV HD</v>
      </c>
      <c r="G60" s="5" t="str">
        <f>IFERROR(IFERROR(VLOOKUP(M3U[[#This Row],[ID]],CHANNEL[#All],4,0),VLOOKUP(M3U[[#This Row],[ID]],CHANNEL_EXT[#All],4,0)),"-")</f>
        <v>https://images.maxstream.tv/sites/default/files/entry/0_p7vlqu2a/landscape_carousel_hdpi.webp</v>
      </c>
      <c r="H60" s="4" t="str">
        <f>IFERROR(IFERROR(VLOOKUP(M3U[[#This Row],[ID]],CHANNEL[#All],3,0),VLOOKUP(M3U[[#This Row],[ID]],CHANNEL_EXT[#All],3,0)),"-")</f>
        <v>Local TV</v>
      </c>
      <c r="I60" s="8" t="str">
        <f>IF(ISERROR(VLOOKUP(M3U[[#This Row],[ID]]&amp;"-"&amp;M3U[[#This Row],[Q]],STREAM[[#All],[SID]],1,0)),"✗","✓")</f>
        <v>✗</v>
      </c>
      <c r="J60" t="str">
        <f>IFERROR(VLOOKUP(M3U[[#This Row],[ID]]&amp;"-"&amp;M3U[[#This Row],[Q]],STREAM[],5,0),"-")</f>
        <v>-</v>
      </c>
      <c r="K60" t="str">
        <f>IFERROR(VLOOKUP(M3U[[#This Row],[ID]]&amp;"-"&amp;M3U[[#This Row],[Q]],STREAM[],6,0),"-")</f>
        <v>-</v>
      </c>
      <c r="L60" t="b">
        <v>1</v>
      </c>
    </row>
    <row r="61" spans="1:12" x14ac:dyDescent="0.55000000000000004">
      <c r="A61" t="s">
        <v>514</v>
      </c>
      <c r="B61" s="2" t="s">
        <v>925</v>
      </c>
      <c r="C61" s="8" t="str">
        <f>IF(ISERROR(VLOOKUP(M3U[[#This Row],[TVGID]],GUIDE[[#All],[TVGID]],1,0)),"✗","✓")</f>
        <v>✓</v>
      </c>
      <c r="D61">
        <v>142</v>
      </c>
      <c r="E61" t="s">
        <v>271</v>
      </c>
      <c r="F6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Sinpo TV HD</v>
      </c>
      <c r="G61" s="5" t="str">
        <f>IFERROR(IFERROR(VLOOKUP(M3U[[#This Row],[ID]],CHANNEL[#All],4,0),VLOOKUP(M3U[[#This Row],[ID]],CHANNEL_EXT[#All],4,0)),"-")</f>
        <v>https://images.maxstream.tv/sites/default/files/entry/0_pfklvvig/landscape_carousel_hdpi.webp</v>
      </c>
      <c r="H61" s="4" t="str">
        <f>IFERROR(IFERROR(VLOOKUP(M3U[[#This Row],[ID]],CHANNEL[#All],3,0),VLOOKUP(M3U[[#This Row],[ID]],CHANNEL_EXT[#All],3,0)),"-")</f>
        <v>Local TV</v>
      </c>
      <c r="I61" s="8" t="str">
        <f>IF(ISERROR(VLOOKUP(M3U[[#This Row],[ID]]&amp;"-"&amp;M3U[[#This Row],[Q]],STREAM[[#All],[SID]],1,0)),"✗","✓")</f>
        <v>✗</v>
      </c>
      <c r="J61" t="str">
        <f>IFERROR(VLOOKUP(M3U[[#This Row],[ID]]&amp;"-"&amp;M3U[[#This Row],[Q]],STREAM[],5,0),"-")</f>
        <v>-</v>
      </c>
      <c r="K61" t="str">
        <f>IFERROR(VLOOKUP(M3U[[#This Row],[ID]]&amp;"-"&amp;M3U[[#This Row],[Q]],STREAM[],6,0),"-")</f>
        <v>-</v>
      </c>
      <c r="L61" t="b">
        <v>1</v>
      </c>
    </row>
    <row r="62" spans="1:12" x14ac:dyDescent="0.55000000000000004">
      <c r="A62" t="s">
        <v>881</v>
      </c>
      <c r="B62" s="2" t="s">
        <v>552</v>
      </c>
      <c r="C62" s="8" t="str">
        <f>IF(ISERROR(VLOOKUP(M3U[[#This Row],[TVGID]],GUIDE[[#All],[TVGID]],1,0)),"✗","✓")</f>
        <v>✓</v>
      </c>
      <c r="D62">
        <v>201</v>
      </c>
      <c r="E62" t="s">
        <v>271</v>
      </c>
      <c r="F6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Curiosity Channel HD</v>
      </c>
      <c r="G62" s="5" t="str">
        <f>IFERROR(IFERROR(VLOOKUP(M3U[[#This Row],[ID]],CHANNEL[#All],4,0),VLOOKUP(M3U[[#This Row],[ID]],CHANNEL_EXT[#All],4,0)),"-")</f>
        <v>https://images.maxstream.tv/sites/default/files/entry/0_3karb7oy/landscape_carousel_hdpi.webp</v>
      </c>
      <c r="H62" s="4" t="str">
        <f>IFERROR(IFERROR(VLOOKUP(M3U[[#This Row],[ID]],CHANNEL[#All],3,0),VLOOKUP(M3U[[#This Row],[ID]],CHANNEL_EXT[#All],3,0)),"-")</f>
        <v>Knowledge</v>
      </c>
      <c r="I62" s="8" t="str">
        <f>IF(ISERROR(VLOOKUP(M3U[[#This Row],[ID]]&amp;"-"&amp;M3U[[#This Row],[Q]],STREAM[[#All],[SID]],1,0)),"✗","✓")</f>
        <v>✗</v>
      </c>
      <c r="J62" t="str">
        <f>IFERROR(VLOOKUP(M3U[[#This Row],[ID]]&amp;"-"&amp;M3U[[#This Row],[Q]],STREAM[],5,0),"-")</f>
        <v>-</v>
      </c>
      <c r="K62" t="str">
        <f>IFERROR(VLOOKUP(M3U[[#This Row],[ID]]&amp;"-"&amp;M3U[[#This Row],[Q]],STREAM[],6,0),"-")</f>
        <v>-</v>
      </c>
      <c r="L62" t="b">
        <v>1</v>
      </c>
    </row>
    <row r="63" spans="1:12" x14ac:dyDescent="0.55000000000000004">
      <c r="A63" t="s">
        <v>295</v>
      </c>
      <c r="B63" s="2" t="s">
        <v>553</v>
      </c>
      <c r="C63" s="8" t="str">
        <f>IF(ISERROR(VLOOKUP(M3U[[#This Row],[TVGID]],GUIDE[[#All],[TVGID]],1,0)),"✗","✓")</f>
        <v>✓</v>
      </c>
      <c r="D63">
        <v>202</v>
      </c>
      <c r="E63" t="s">
        <v>271</v>
      </c>
      <c r="F6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Animal Planet HD</v>
      </c>
      <c r="G63" s="5" t="str">
        <f>IFERROR(IFERROR(VLOOKUP(M3U[[#This Row],[ID]],CHANNEL[#All],4,0),VLOOKUP(M3U[[#This Row],[ID]],CHANNEL_EXT[#All],4,0)),"-")</f>
        <v>https://images.maxstream.tv/sites/default/files/entry/0_oyquzepi/landscape_carousel_hdpi.webp</v>
      </c>
      <c r="H63" s="4" t="str">
        <f>IFERROR(IFERROR(VLOOKUP(M3U[[#This Row],[ID]],CHANNEL[#All],3,0),VLOOKUP(M3U[[#This Row],[ID]],CHANNEL_EXT[#All],3,0)),"-")</f>
        <v>Knowledge</v>
      </c>
      <c r="I63" s="8" t="str">
        <f>IF(ISERROR(VLOOKUP(M3U[[#This Row],[ID]]&amp;"-"&amp;M3U[[#This Row],[Q]],STREAM[[#All],[SID]],1,0)),"✗","✓")</f>
        <v>✗</v>
      </c>
      <c r="J63" t="str">
        <f>IFERROR(VLOOKUP(M3U[[#This Row],[ID]]&amp;"-"&amp;M3U[[#This Row],[Q]],STREAM[],5,0),"-")</f>
        <v>-</v>
      </c>
      <c r="K63" t="str">
        <f>IFERROR(VLOOKUP(M3U[[#This Row],[ID]]&amp;"-"&amp;M3U[[#This Row],[Q]],STREAM[],6,0),"-")</f>
        <v>-</v>
      </c>
      <c r="L63" t="b">
        <v>1</v>
      </c>
    </row>
    <row r="64" spans="1:12" hidden="1" x14ac:dyDescent="0.55000000000000004">
      <c r="A64" t="s">
        <v>158</v>
      </c>
      <c r="B64" s="2" t="s">
        <v>554</v>
      </c>
      <c r="C64" s="8" t="str">
        <f>IF(ISERROR(VLOOKUP(M3U[[#This Row],[TVGID]],GUIDE[[#All],[TVGID]],1,0)),"✗","✓")</f>
        <v>✓</v>
      </c>
      <c r="D64">
        <v>203</v>
      </c>
      <c r="E64" t="s">
        <v>321</v>
      </c>
      <c r="F6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Crime Investigation</v>
      </c>
      <c r="G64" s="5" t="str">
        <f>IFERROR(IFERROR(VLOOKUP(M3U[[#This Row],[ID]],CHANNEL[#All],4,0),VLOOKUP(M3U[[#This Row],[ID]],CHANNEL_EXT[#All],4,0)),"-")</f>
        <v>https://images.maxstream.tv/sites/default/files/entry/0_7gka297f/landscape_carousel_hdpi.webp</v>
      </c>
      <c r="H64" s="4" t="str">
        <f>IFERROR(IFERROR(VLOOKUP(M3U[[#This Row],[ID]],CHANNEL[#All],3,0),VLOOKUP(M3U[[#This Row],[ID]],CHANNEL_EXT[#All],3,0)),"-")</f>
        <v>Knowledge</v>
      </c>
      <c r="I64" s="8" t="str">
        <f>IF(ISERROR(VLOOKUP(M3U[[#This Row],[ID]]&amp;"-"&amp;M3U[[#This Row],[Q]],STREAM[[#All],[SID]],1,0)),"✗","✓")</f>
        <v>✗</v>
      </c>
      <c r="J64" t="str">
        <f>IFERROR(VLOOKUP(M3U[[#This Row],[ID]]&amp;"-"&amp;M3U[[#This Row],[Q]],STREAM[],5,0),"-")</f>
        <v>-</v>
      </c>
      <c r="K64" t="str">
        <f>IFERROR(VLOOKUP(M3U[[#This Row],[ID]]&amp;"-"&amp;M3U[[#This Row],[Q]],STREAM[],6,0),"-")</f>
        <v>-</v>
      </c>
      <c r="L64" t="b">
        <v>0</v>
      </c>
    </row>
    <row r="65" spans="1:12" x14ac:dyDescent="0.55000000000000004">
      <c r="A65" t="s">
        <v>158</v>
      </c>
      <c r="B65" s="2" t="s">
        <v>554</v>
      </c>
      <c r="C65" s="8" t="str">
        <f>IF(ISERROR(VLOOKUP(M3U[[#This Row],[TVGID]],GUIDE[[#All],[TVGID]],1,0)),"✗","✓")</f>
        <v>✓</v>
      </c>
      <c r="D65">
        <v>203</v>
      </c>
      <c r="E65" t="s">
        <v>271</v>
      </c>
      <c r="F6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Crime Investigation HD</v>
      </c>
      <c r="G65" s="5" t="str">
        <f>IFERROR(IFERROR(VLOOKUP(M3U[[#This Row],[ID]],CHANNEL[#All],4,0),VLOOKUP(M3U[[#This Row],[ID]],CHANNEL_EXT[#All],4,0)),"-")</f>
        <v>https://images.maxstream.tv/sites/default/files/entry/0_7gka297f/landscape_carousel_hdpi.webp</v>
      </c>
      <c r="H65" s="4" t="str">
        <f>IFERROR(IFERROR(VLOOKUP(M3U[[#This Row],[ID]],CHANNEL[#All],3,0),VLOOKUP(M3U[[#This Row],[ID]],CHANNEL_EXT[#All],3,0)),"-")</f>
        <v>Knowledge</v>
      </c>
      <c r="I65" s="8" t="str">
        <f>IF(ISERROR(VLOOKUP(M3U[[#This Row],[ID]]&amp;"-"&amp;M3U[[#This Row],[Q]],STREAM[[#All],[SID]],1,0)),"✗","✓")</f>
        <v>✗</v>
      </c>
      <c r="J65" t="str">
        <f>IFERROR(VLOOKUP(M3U[[#This Row],[ID]]&amp;"-"&amp;M3U[[#This Row],[Q]],STREAM[],5,0),"-")</f>
        <v>-</v>
      </c>
      <c r="K65" t="str">
        <f>IFERROR(VLOOKUP(M3U[[#This Row],[ID]]&amp;"-"&amp;M3U[[#This Row],[Q]],STREAM[],6,0),"-")</f>
        <v>-</v>
      </c>
      <c r="L65" t="b">
        <v>1</v>
      </c>
    </row>
    <row r="66" spans="1:12" hidden="1" x14ac:dyDescent="0.55000000000000004">
      <c r="A66" t="s">
        <v>157</v>
      </c>
      <c r="B66" s="2" t="s">
        <v>555</v>
      </c>
      <c r="C66" s="8" t="str">
        <f>IF(ISERROR(VLOOKUP(M3U[[#This Row],[TVGID]],GUIDE[[#All],[TVGID]],1,0)),"✗","✓")</f>
        <v>✓</v>
      </c>
      <c r="D66">
        <v>204</v>
      </c>
      <c r="E66" t="s">
        <v>321</v>
      </c>
      <c r="F6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CGTN Documentary</v>
      </c>
      <c r="G66" s="5" t="str">
        <f>IFERROR(IFERROR(VLOOKUP(M3U[[#This Row],[ID]],CHANNEL[#All],4,0),VLOOKUP(M3U[[#This Row],[ID]],CHANNEL_EXT[#All],4,0)),"-")</f>
        <v>https://images.maxstream.tv/sites/default/files/entry/0_ypi11pce/landscape_carousel_hdpi.webp</v>
      </c>
      <c r="H66" s="4" t="str">
        <f>IFERROR(IFERROR(VLOOKUP(M3U[[#This Row],[ID]],CHANNEL[#All],3,0),VLOOKUP(M3U[[#This Row],[ID]],CHANNEL_EXT[#All],3,0)),"-")</f>
        <v>Knowledge</v>
      </c>
      <c r="I66" s="8" t="str">
        <f>IF(ISERROR(VLOOKUP(M3U[[#This Row],[ID]]&amp;"-"&amp;M3U[[#This Row],[Q]],STREAM[[#All],[SID]],1,0)),"✗","✓")</f>
        <v>✗</v>
      </c>
      <c r="J66" t="str">
        <f>IFERROR(VLOOKUP(M3U[[#This Row],[ID]]&amp;"-"&amp;M3U[[#This Row],[Q]],STREAM[],5,0),"-")</f>
        <v>-</v>
      </c>
      <c r="K66" t="str">
        <f>IFERROR(VLOOKUP(M3U[[#This Row],[ID]]&amp;"-"&amp;M3U[[#This Row],[Q]],STREAM[],6,0),"-")</f>
        <v>-</v>
      </c>
      <c r="L66" t="b">
        <v>0</v>
      </c>
    </row>
    <row r="67" spans="1:12" x14ac:dyDescent="0.55000000000000004">
      <c r="A67" t="s">
        <v>157</v>
      </c>
      <c r="B67" s="2" t="s">
        <v>555</v>
      </c>
      <c r="C67" s="8" t="str">
        <f>IF(ISERROR(VLOOKUP(M3U[[#This Row],[TVGID]],GUIDE[[#All],[TVGID]],1,0)),"✗","✓")</f>
        <v>✓</v>
      </c>
      <c r="D67">
        <v>204</v>
      </c>
      <c r="E67" t="s">
        <v>271</v>
      </c>
      <c r="F6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CGTN Documentary HD</v>
      </c>
      <c r="G67" s="5" t="str">
        <f>IFERROR(IFERROR(VLOOKUP(M3U[[#This Row],[ID]],CHANNEL[#All],4,0),VLOOKUP(M3U[[#This Row],[ID]],CHANNEL_EXT[#All],4,0)),"-")</f>
        <v>https://images.maxstream.tv/sites/default/files/entry/0_ypi11pce/landscape_carousel_hdpi.webp</v>
      </c>
      <c r="H67" s="4" t="str">
        <f>IFERROR(IFERROR(VLOOKUP(M3U[[#This Row],[ID]],CHANNEL[#All],3,0),VLOOKUP(M3U[[#This Row],[ID]],CHANNEL_EXT[#All],3,0)),"-")</f>
        <v>Knowledge</v>
      </c>
      <c r="I67" s="8" t="str">
        <f>IF(ISERROR(VLOOKUP(M3U[[#This Row],[ID]]&amp;"-"&amp;M3U[[#This Row],[Q]],STREAM[[#All],[SID]],1,0)),"✗","✓")</f>
        <v>✗</v>
      </c>
      <c r="J67" t="str">
        <f>IFERROR(VLOOKUP(M3U[[#This Row],[ID]]&amp;"-"&amp;M3U[[#This Row],[Q]],STREAM[],5,0),"-")</f>
        <v>-</v>
      </c>
      <c r="K67" t="str">
        <f>IFERROR(VLOOKUP(M3U[[#This Row],[ID]]&amp;"-"&amp;M3U[[#This Row],[Q]],STREAM[],6,0),"-")</f>
        <v>-</v>
      </c>
      <c r="L67" t="b">
        <v>1</v>
      </c>
    </row>
    <row r="68" spans="1:12" x14ac:dyDescent="0.55000000000000004">
      <c r="A68" t="s">
        <v>161</v>
      </c>
      <c r="B68" s="2" t="s">
        <v>556</v>
      </c>
      <c r="C68" s="8" t="str">
        <f>IF(ISERROR(VLOOKUP(M3U[[#This Row],[TVGID]],GUIDE[[#All],[TVGID]],1,0)),"✗","✓")</f>
        <v>✓</v>
      </c>
      <c r="D68">
        <v>205</v>
      </c>
      <c r="E68" t="s">
        <v>271</v>
      </c>
      <c r="F6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History HD</v>
      </c>
      <c r="G68" s="5" t="str">
        <f>IFERROR(IFERROR(VLOOKUP(M3U[[#This Row],[ID]],CHANNEL[#All],4,0),VLOOKUP(M3U[[#This Row],[ID]],CHANNEL_EXT[#All],4,0)),"-")</f>
        <v>https://images.maxstream.tv/sites/default/files/entry/0_k9r5lq30/landscape_carousel_hdpi.webp</v>
      </c>
      <c r="H68" s="4" t="str">
        <f>IFERROR(IFERROR(VLOOKUP(M3U[[#This Row],[ID]],CHANNEL[#All],3,0),VLOOKUP(M3U[[#This Row],[ID]],CHANNEL_EXT[#All],3,0)),"-")</f>
        <v>Knowledge</v>
      </c>
      <c r="I68" s="8" t="str">
        <f>IF(ISERROR(VLOOKUP(M3U[[#This Row],[ID]]&amp;"-"&amp;M3U[[#This Row],[Q]],STREAM[[#All],[SID]],1,0)),"✗","✓")</f>
        <v>✗</v>
      </c>
      <c r="J68" t="str">
        <f>IFERROR(VLOOKUP(M3U[[#This Row],[ID]]&amp;"-"&amp;M3U[[#This Row],[Q]],STREAM[],5,0),"-")</f>
        <v>-</v>
      </c>
      <c r="K68" t="str">
        <f>IFERROR(VLOOKUP(M3U[[#This Row],[ID]]&amp;"-"&amp;M3U[[#This Row],[Q]],STREAM[],6,0),"-")</f>
        <v>-</v>
      </c>
      <c r="L68" t="b">
        <v>1</v>
      </c>
    </row>
    <row r="69" spans="1:12" x14ac:dyDescent="0.55000000000000004">
      <c r="A69" t="s">
        <v>324</v>
      </c>
      <c r="B69" s="2" t="s">
        <v>557</v>
      </c>
      <c r="C69" s="8" t="str">
        <f>IF(ISERROR(VLOOKUP(M3U[[#This Row],[TVGID]],GUIDE[[#All],[TVGID]],1,0)),"✗","✓")</f>
        <v>✓</v>
      </c>
      <c r="D69">
        <v>206</v>
      </c>
      <c r="E69" t="s">
        <v>271</v>
      </c>
      <c r="F6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Panda TV HD</v>
      </c>
      <c r="G69" s="5" t="str">
        <f>IFERROR(IFERROR(VLOOKUP(M3U[[#This Row],[ID]],CHANNEL[#All],4,0),VLOOKUP(M3U[[#This Row],[ID]],CHANNEL_EXT[#All],4,0)),"-")</f>
        <v>https://images.indihometv.com/logo_pandatv_big.png</v>
      </c>
      <c r="H69" s="4" t="str">
        <f>IFERROR(IFERROR(VLOOKUP(M3U[[#This Row],[ID]],CHANNEL[#All],3,0),VLOOKUP(M3U[[#This Row],[ID]],CHANNEL_EXT[#All],3,0)),"-")</f>
        <v>Knowledge</v>
      </c>
      <c r="I69" s="8" t="str">
        <f>IF(ISERROR(VLOOKUP(M3U[[#This Row],[ID]]&amp;"-"&amp;M3U[[#This Row],[Q]],STREAM[[#All],[SID]],1,0)),"✗","✓")</f>
        <v>✗</v>
      </c>
      <c r="J69" t="str">
        <f>IFERROR(VLOOKUP(M3U[[#This Row],[ID]]&amp;"-"&amp;M3U[[#This Row],[Q]],STREAM[],5,0),"-")</f>
        <v>-</v>
      </c>
      <c r="K69" t="str">
        <f>IFERROR(VLOOKUP(M3U[[#This Row],[ID]]&amp;"-"&amp;M3U[[#This Row],[Q]],STREAM[],6,0),"-")</f>
        <v>-</v>
      </c>
      <c r="L69" t="b">
        <v>1</v>
      </c>
    </row>
    <row r="70" spans="1:12" hidden="1" x14ac:dyDescent="0.55000000000000004">
      <c r="A70" t="s">
        <v>883</v>
      </c>
      <c r="B70" s="2" t="s">
        <v>921</v>
      </c>
      <c r="C70" s="8" t="str">
        <f>IF(ISERROR(VLOOKUP(M3U[[#This Row],[TVGID]],GUIDE[[#All],[TVGID]],1,0)),"✗","✓")</f>
        <v>✓</v>
      </c>
      <c r="D70">
        <v>207</v>
      </c>
      <c r="E70" t="s">
        <v>321</v>
      </c>
      <c r="F7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Discovery Channel</v>
      </c>
      <c r="G70" s="5" t="str">
        <f>IFERROR(IFERROR(VLOOKUP(M3U[[#This Row],[ID]],CHANNEL[#All],4,0),VLOOKUP(M3U[[#This Row],[ID]],CHANNEL_EXT[#All],4,0)),"-")</f>
        <v>https://images.maxstream.tv/sites/default/files/entry/0_efpv3846/landscape_carousel_hdpi.webp</v>
      </c>
      <c r="H70" s="4" t="str">
        <f>IFERROR(IFERROR(VLOOKUP(M3U[[#This Row],[ID]],CHANNEL[#All],3,0),VLOOKUP(M3U[[#This Row],[ID]],CHANNEL_EXT[#All],3,0)),"-")</f>
        <v>Knowledge</v>
      </c>
      <c r="I70" s="8" t="str">
        <f>IF(ISERROR(VLOOKUP(M3U[[#This Row],[ID]]&amp;"-"&amp;M3U[[#This Row],[Q]],STREAM[[#All],[SID]],1,0)),"✗","✓")</f>
        <v>✗</v>
      </c>
      <c r="J70" t="str">
        <f>IFERROR(VLOOKUP(M3U[[#This Row],[ID]]&amp;"-"&amp;M3U[[#This Row],[Q]],STREAM[],5,0),"-")</f>
        <v>-</v>
      </c>
      <c r="K70" t="str">
        <f>IFERROR(VLOOKUP(M3U[[#This Row],[ID]]&amp;"-"&amp;M3U[[#This Row],[Q]],STREAM[],6,0),"-")</f>
        <v>-</v>
      </c>
      <c r="L70" t="b">
        <v>0</v>
      </c>
    </row>
    <row r="71" spans="1:12" x14ac:dyDescent="0.55000000000000004">
      <c r="A71" t="s">
        <v>883</v>
      </c>
      <c r="B71" s="2" t="s">
        <v>921</v>
      </c>
      <c r="C71" s="8" t="str">
        <f>IF(ISERROR(VLOOKUP(M3U[[#This Row],[TVGID]],GUIDE[[#All],[TVGID]],1,0)),"✗","✓")</f>
        <v>✓</v>
      </c>
      <c r="D71">
        <v>207</v>
      </c>
      <c r="E71" t="s">
        <v>271</v>
      </c>
      <c r="F7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Discovery Channel HD</v>
      </c>
      <c r="G71" s="5" t="str">
        <f>IFERROR(IFERROR(VLOOKUP(M3U[[#This Row],[ID]],CHANNEL[#All],4,0),VLOOKUP(M3U[[#This Row],[ID]],CHANNEL_EXT[#All],4,0)),"-")</f>
        <v>https://images.maxstream.tv/sites/default/files/entry/0_efpv3846/landscape_carousel_hdpi.webp</v>
      </c>
      <c r="H71" s="4" t="str">
        <f>IFERROR(IFERROR(VLOOKUP(M3U[[#This Row],[ID]],CHANNEL[#All],3,0),VLOOKUP(M3U[[#This Row],[ID]],CHANNEL_EXT[#All],3,0)),"-")</f>
        <v>Knowledge</v>
      </c>
      <c r="I71" s="8" t="str">
        <f>IF(ISERROR(VLOOKUP(M3U[[#This Row],[ID]]&amp;"-"&amp;M3U[[#This Row],[Q]],STREAM[[#All],[SID]],1,0)),"✗","✓")</f>
        <v>✗</v>
      </c>
      <c r="J71" t="str">
        <f>IFERROR(VLOOKUP(M3U[[#This Row],[ID]]&amp;"-"&amp;M3U[[#This Row],[Q]],STREAM[],5,0),"-")</f>
        <v>-</v>
      </c>
      <c r="K71" t="str">
        <f>IFERROR(VLOOKUP(M3U[[#This Row],[ID]]&amp;"-"&amp;M3U[[#This Row],[Q]],STREAM[],6,0),"-")</f>
        <v>-</v>
      </c>
      <c r="L71" t="b">
        <v>1</v>
      </c>
    </row>
    <row r="72" spans="1:12" x14ac:dyDescent="0.55000000000000004">
      <c r="A72" t="s">
        <v>293</v>
      </c>
      <c r="B72" t="s">
        <v>558</v>
      </c>
      <c r="C72" s="8" t="str">
        <f>IF(ISERROR(VLOOKUP(M3U[[#This Row],[TVGID]],GUIDE[[#All],[TVGID]],1,0)),"✗","✓")</f>
        <v>✓</v>
      </c>
      <c r="D72">
        <v>210</v>
      </c>
      <c r="E72" t="s">
        <v>271</v>
      </c>
      <c r="F7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Discovery Asia HD</v>
      </c>
      <c r="G72" s="5" t="str">
        <f>IFERROR(IFERROR(VLOOKUP(M3U[[#This Row],[ID]],CHANNEL[#All],4,0),VLOOKUP(M3U[[#This Row],[ID]],CHANNEL_EXT[#All],4,0)),"-")</f>
        <v>https://images.maxstream.tv/sites/default/files/entry/0_nhmzmt8u/landscape_carousel_hdpi.webp</v>
      </c>
      <c r="H72" s="4" t="str">
        <f>IFERROR(IFERROR(VLOOKUP(M3U[[#This Row],[ID]],CHANNEL[#All],3,0),VLOOKUP(M3U[[#This Row],[ID]],CHANNEL_EXT[#All],3,0)),"-")</f>
        <v>Knowledge</v>
      </c>
      <c r="I72" s="8" t="str">
        <f>IF(ISERROR(VLOOKUP(M3U[[#This Row],[ID]]&amp;"-"&amp;M3U[[#This Row],[Q]],STREAM[[#All],[SID]],1,0)),"✗","✓")</f>
        <v>✗</v>
      </c>
      <c r="J72" t="str">
        <f>IFERROR(VLOOKUP(M3U[[#This Row],[ID]]&amp;"-"&amp;M3U[[#This Row],[Q]],STREAM[],5,0),"-")</f>
        <v>-</v>
      </c>
      <c r="K72" t="str">
        <f>IFERROR(VLOOKUP(M3U[[#This Row],[ID]]&amp;"-"&amp;M3U[[#This Row],[Q]],STREAM[],6,0),"-")</f>
        <v>-</v>
      </c>
      <c r="L72" t="b">
        <v>1</v>
      </c>
    </row>
    <row r="73" spans="1:12" x14ac:dyDescent="0.55000000000000004">
      <c r="A73" t="s">
        <v>297</v>
      </c>
      <c r="B73" s="2" t="s">
        <v>559</v>
      </c>
      <c r="C73" s="8" t="str">
        <f>IF(ISERROR(VLOOKUP(M3U[[#This Row],[TVGID]],GUIDE[[#All],[TVGID]],1,0)),"✗","✓")</f>
        <v>✓</v>
      </c>
      <c r="D73">
        <v>211</v>
      </c>
      <c r="E73" t="s">
        <v>271</v>
      </c>
      <c r="F7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Love Nature HD</v>
      </c>
      <c r="G73" s="5" t="str">
        <f>IFERROR(IFERROR(VLOOKUP(M3U[[#This Row],[ID]],CHANNEL[#All],4,0),VLOOKUP(M3U[[#This Row],[ID]],CHANNEL_EXT[#All],4,0)),"-")</f>
        <v>https://images.maxstream.tv/sites/default/files/entry/0_moy42tni/landscape_carousel_hdpi.webp</v>
      </c>
      <c r="H73" s="4" t="str">
        <f>IFERROR(IFERROR(VLOOKUP(M3U[[#This Row],[ID]],CHANNEL[#All],3,0),VLOOKUP(M3U[[#This Row],[ID]],CHANNEL_EXT[#All],3,0)),"-")</f>
        <v>Knowledge</v>
      </c>
      <c r="I73" s="8" t="str">
        <f>IF(ISERROR(VLOOKUP(M3U[[#This Row],[ID]]&amp;"-"&amp;M3U[[#This Row],[Q]],STREAM[[#All],[SID]],1,0)),"✗","✓")</f>
        <v>✗</v>
      </c>
      <c r="J73" t="str">
        <f>IFERROR(VLOOKUP(M3U[[#This Row],[ID]]&amp;"-"&amp;M3U[[#This Row],[Q]],STREAM[],5,0),"-")</f>
        <v>-</v>
      </c>
      <c r="K73" t="str">
        <f>IFERROR(VLOOKUP(M3U[[#This Row],[ID]]&amp;"-"&amp;M3U[[#This Row],[Q]],STREAM[],6,0),"-")</f>
        <v>-</v>
      </c>
      <c r="L73" t="b">
        <v>1</v>
      </c>
    </row>
    <row r="74" spans="1:12" x14ac:dyDescent="0.55000000000000004">
      <c r="A74" t="s">
        <v>646</v>
      </c>
      <c r="B74" s="2" t="s">
        <v>657</v>
      </c>
      <c r="C74" s="8" t="str">
        <f>IF(ISERROR(VLOOKUP(M3U[[#This Row],[TVGID]],GUIDE[[#All],[TVGID]],1,0)),"✗","✓")</f>
        <v>✓</v>
      </c>
      <c r="D74">
        <v>301</v>
      </c>
      <c r="E74" t="s">
        <v>271</v>
      </c>
      <c r="F7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CBeebies HD</v>
      </c>
      <c r="G74" s="5" t="str">
        <f>IFERROR(IFERROR(VLOOKUP(M3U[[#This Row],[ID]],CHANNEL[#All],4,0),VLOOKUP(M3U[[#This Row],[ID]],CHANNEL_EXT[#All],4,0)),"-")</f>
        <v>https://images.maxstream.tv/sites/default/files/entry/0_84kdjuht/landscape_carousel_hdpi.webp</v>
      </c>
      <c r="H74" s="4" t="str">
        <f>IFERROR(IFERROR(VLOOKUP(M3U[[#This Row],[ID]],CHANNEL[#All],3,0),VLOOKUP(M3U[[#This Row],[ID]],CHANNEL_EXT[#All],3,0)),"-")</f>
        <v>Kids</v>
      </c>
      <c r="I74" s="8" t="str">
        <f>IF(ISERROR(VLOOKUP(M3U[[#This Row],[ID]]&amp;"-"&amp;M3U[[#This Row],[Q]],STREAM[[#All],[SID]],1,0)),"✗","✓")</f>
        <v>✗</v>
      </c>
      <c r="J74" t="str">
        <f>IFERROR(VLOOKUP(M3U[[#This Row],[ID]]&amp;"-"&amp;M3U[[#This Row],[Q]],STREAM[],5,0),"-")</f>
        <v>-</v>
      </c>
      <c r="K74" t="str">
        <f>IFERROR(VLOOKUP(M3U[[#This Row],[ID]]&amp;"-"&amp;M3U[[#This Row],[Q]],STREAM[],6,0),"-")</f>
        <v>-</v>
      </c>
      <c r="L74" t="b">
        <v>1</v>
      </c>
    </row>
    <row r="75" spans="1:12" hidden="1" x14ac:dyDescent="0.55000000000000004">
      <c r="A75" t="s">
        <v>882</v>
      </c>
      <c r="B75" s="2" t="s">
        <v>560</v>
      </c>
      <c r="C75" s="8" t="str">
        <f>IF(ISERROR(VLOOKUP(M3U[[#This Row],[TVGID]],GUIDE[[#All],[TVGID]],1,0)),"✗","✓")</f>
        <v>✓</v>
      </c>
      <c r="D75">
        <v>303</v>
      </c>
      <c r="E75" t="s">
        <v>321</v>
      </c>
      <c r="F7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Da Vinci Learning</v>
      </c>
      <c r="G75" s="5" t="str">
        <f>IFERROR(IFERROR(VLOOKUP(M3U[[#This Row],[ID]],CHANNEL[#All],4,0),VLOOKUP(M3U[[#This Row],[ID]],CHANNEL_EXT[#All],4,0)),"-")</f>
        <v>https://images.maxstream.tv/sites/default/files/entry/0_enfa8a2h/landscape_carousel_hdpi.webp</v>
      </c>
      <c r="H75" s="4" t="str">
        <f>IFERROR(IFERROR(VLOOKUP(M3U[[#This Row],[ID]],CHANNEL[#All],3,0),VLOOKUP(M3U[[#This Row],[ID]],CHANNEL_EXT[#All],3,0)),"-")</f>
        <v>Kids</v>
      </c>
      <c r="I75" s="8" t="str">
        <f>IF(ISERROR(VLOOKUP(M3U[[#This Row],[ID]]&amp;"-"&amp;M3U[[#This Row],[Q]],STREAM[[#All],[SID]],1,0)),"✗","✓")</f>
        <v>✗</v>
      </c>
      <c r="J75" t="str">
        <f>IFERROR(VLOOKUP(M3U[[#This Row],[ID]]&amp;"-"&amp;M3U[[#This Row],[Q]],STREAM[],5,0),"-")</f>
        <v>-</v>
      </c>
      <c r="K75" t="str">
        <f>IFERROR(VLOOKUP(M3U[[#This Row],[ID]]&amp;"-"&amp;M3U[[#This Row],[Q]],STREAM[],6,0),"-")</f>
        <v>-</v>
      </c>
      <c r="L75" t="b">
        <v>0</v>
      </c>
    </row>
    <row r="76" spans="1:12" x14ac:dyDescent="0.55000000000000004">
      <c r="A76" t="s">
        <v>882</v>
      </c>
      <c r="B76" s="2" t="s">
        <v>560</v>
      </c>
      <c r="C76" s="8" t="str">
        <f>IF(ISERROR(VLOOKUP(M3U[[#This Row],[TVGID]],GUIDE[[#All],[TVGID]],1,0)),"✗","✓")</f>
        <v>✓</v>
      </c>
      <c r="D76">
        <v>303</v>
      </c>
      <c r="E76" t="s">
        <v>271</v>
      </c>
      <c r="F7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Da Vinci Learning HD</v>
      </c>
      <c r="G76" s="5" t="str">
        <f>IFERROR(IFERROR(VLOOKUP(M3U[[#This Row],[ID]],CHANNEL[#All],4,0),VLOOKUP(M3U[[#This Row],[ID]],CHANNEL_EXT[#All],4,0)),"-")</f>
        <v>https://images.maxstream.tv/sites/default/files/entry/0_enfa8a2h/landscape_carousel_hdpi.webp</v>
      </c>
      <c r="H76" s="4" t="str">
        <f>IFERROR(IFERROR(VLOOKUP(M3U[[#This Row],[ID]],CHANNEL[#All],3,0),VLOOKUP(M3U[[#This Row],[ID]],CHANNEL_EXT[#All],3,0)),"-")</f>
        <v>Kids</v>
      </c>
      <c r="I76" s="8" t="str">
        <f>IF(ISERROR(VLOOKUP(M3U[[#This Row],[ID]]&amp;"-"&amp;M3U[[#This Row],[Q]],STREAM[[#All],[SID]],1,0)),"✗","✓")</f>
        <v>✗</v>
      </c>
      <c r="J76" t="str">
        <f>IFERROR(VLOOKUP(M3U[[#This Row],[ID]]&amp;"-"&amp;M3U[[#This Row],[Q]],STREAM[],5,0),"-")</f>
        <v>-</v>
      </c>
      <c r="K76" t="str">
        <f>IFERROR(VLOOKUP(M3U[[#This Row],[ID]]&amp;"-"&amp;M3U[[#This Row],[Q]],STREAM[],6,0),"-")</f>
        <v>-</v>
      </c>
      <c r="L76" t="b">
        <v>1</v>
      </c>
    </row>
    <row r="77" spans="1:12" hidden="1" x14ac:dyDescent="0.55000000000000004">
      <c r="A77" t="s">
        <v>156</v>
      </c>
      <c r="B77" s="2" t="s">
        <v>561</v>
      </c>
      <c r="C77" s="8" t="str">
        <f>IF(ISERROR(VLOOKUP(M3U[[#This Row],[TVGID]],GUIDE[[#All],[TVGID]],1,0)),"✗","✓")</f>
        <v>✓</v>
      </c>
      <c r="D77">
        <v>304</v>
      </c>
      <c r="E77" t="s">
        <v>321</v>
      </c>
      <c r="F7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Nickelodeon</v>
      </c>
      <c r="G77" s="5" t="str">
        <f>IFERROR(IFERROR(VLOOKUP(M3U[[#This Row],[ID]],CHANNEL[#All],4,0),VLOOKUP(M3U[[#This Row],[ID]],CHANNEL_EXT[#All],4,0)),"-")</f>
        <v>https://images.maxstream.tv/sites/default/files/entry/0_2sdk0nou/landscape_carousel_hdpi.webp</v>
      </c>
      <c r="H77" s="4" t="str">
        <f>IFERROR(IFERROR(VLOOKUP(M3U[[#This Row],[ID]],CHANNEL[#All],3,0),VLOOKUP(M3U[[#This Row],[ID]],CHANNEL_EXT[#All],3,0)),"-")</f>
        <v>Kids</v>
      </c>
      <c r="I77" s="8" t="str">
        <f>IF(ISERROR(VLOOKUP(M3U[[#This Row],[ID]]&amp;"-"&amp;M3U[[#This Row],[Q]],STREAM[[#All],[SID]],1,0)),"✗","✓")</f>
        <v>✗</v>
      </c>
      <c r="J77" t="str">
        <f>IFERROR(VLOOKUP(M3U[[#This Row],[ID]]&amp;"-"&amp;M3U[[#This Row],[Q]],STREAM[],5,0),"-")</f>
        <v>-</v>
      </c>
      <c r="K77" t="str">
        <f>IFERROR(VLOOKUP(M3U[[#This Row],[ID]]&amp;"-"&amp;M3U[[#This Row],[Q]],STREAM[],6,0),"-")</f>
        <v>-</v>
      </c>
      <c r="L77" t="b">
        <v>0</v>
      </c>
    </row>
    <row r="78" spans="1:12" x14ac:dyDescent="0.55000000000000004">
      <c r="A78" t="s">
        <v>156</v>
      </c>
      <c r="B78" s="2" t="s">
        <v>561</v>
      </c>
      <c r="C78" s="8" t="str">
        <f>IF(ISERROR(VLOOKUP(M3U[[#This Row],[TVGID]],GUIDE[[#All],[TVGID]],1,0)),"✗","✓")</f>
        <v>✓</v>
      </c>
      <c r="D78">
        <v>304</v>
      </c>
      <c r="E78" t="s">
        <v>271</v>
      </c>
      <c r="F7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Nickelodeon HD</v>
      </c>
      <c r="G78" s="5" t="str">
        <f>IFERROR(IFERROR(VLOOKUP(M3U[[#This Row],[ID]],CHANNEL[#All],4,0),VLOOKUP(M3U[[#This Row],[ID]],CHANNEL_EXT[#All],4,0)),"-")</f>
        <v>https://images.maxstream.tv/sites/default/files/entry/0_2sdk0nou/landscape_carousel_hdpi.webp</v>
      </c>
      <c r="H78" s="4" t="str">
        <f>IFERROR(IFERROR(VLOOKUP(M3U[[#This Row],[ID]],CHANNEL[#All],3,0),VLOOKUP(M3U[[#This Row],[ID]],CHANNEL_EXT[#All],3,0)),"-")</f>
        <v>Kids</v>
      </c>
      <c r="I78" s="8" t="str">
        <f>IF(ISERROR(VLOOKUP(M3U[[#This Row],[ID]]&amp;"-"&amp;M3U[[#This Row],[Q]],STREAM[[#All],[SID]],1,0)),"✗","✓")</f>
        <v>✗</v>
      </c>
      <c r="J78" t="str">
        <f>IFERROR(VLOOKUP(M3U[[#This Row],[ID]]&amp;"-"&amp;M3U[[#This Row],[Q]],STREAM[],5,0),"-")</f>
        <v>-</v>
      </c>
      <c r="K78" t="str">
        <f>IFERROR(VLOOKUP(M3U[[#This Row],[ID]]&amp;"-"&amp;M3U[[#This Row],[Q]],STREAM[],6,0),"-")</f>
        <v>-</v>
      </c>
      <c r="L78" t="b">
        <v>1</v>
      </c>
    </row>
    <row r="79" spans="1:12" hidden="1" x14ac:dyDescent="0.55000000000000004">
      <c r="A79" t="s">
        <v>895</v>
      </c>
      <c r="B79" s="2" t="s">
        <v>562</v>
      </c>
      <c r="C79" s="8" t="str">
        <f>IF(ISERROR(VLOOKUP(M3U[[#This Row],[TVGID]],GUIDE[[#All],[TVGID]],1,0)),"✗","✓")</f>
        <v>✓</v>
      </c>
      <c r="D79">
        <v>305</v>
      </c>
      <c r="E79" t="s">
        <v>321</v>
      </c>
      <c r="F7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Nick Junior</v>
      </c>
      <c r="G79" s="5" t="str">
        <f>IFERROR(IFERROR(VLOOKUP(M3U[[#This Row],[ID]],CHANNEL[#All],4,0),VLOOKUP(M3U[[#This Row],[ID]],CHANNEL_EXT[#All],4,0)),"-")</f>
        <v>https://images.maxstream.tv/sites/default/files/entry/0_pz6xuyqn/landscape_carousel_hdpi.webp</v>
      </c>
      <c r="H79" s="4" t="str">
        <f>IFERROR(IFERROR(VLOOKUP(M3U[[#This Row],[ID]],CHANNEL[#All],3,0),VLOOKUP(M3U[[#This Row],[ID]],CHANNEL_EXT[#All],3,0)),"-")</f>
        <v>Kids</v>
      </c>
      <c r="I79" s="8" t="str">
        <f>IF(ISERROR(VLOOKUP(M3U[[#This Row],[ID]]&amp;"-"&amp;M3U[[#This Row],[Q]],STREAM[[#All],[SID]],1,0)),"✗","✓")</f>
        <v>✗</v>
      </c>
      <c r="J79" t="str">
        <f>IFERROR(VLOOKUP(M3U[[#This Row],[ID]]&amp;"-"&amp;M3U[[#This Row],[Q]],STREAM[],5,0),"-")</f>
        <v>-</v>
      </c>
      <c r="K79" t="str">
        <f>IFERROR(VLOOKUP(M3U[[#This Row],[ID]]&amp;"-"&amp;M3U[[#This Row],[Q]],STREAM[],6,0),"-")</f>
        <v>-</v>
      </c>
      <c r="L79" t="b">
        <v>0</v>
      </c>
    </row>
    <row r="80" spans="1:12" x14ac:dyDescent="0.55000000000000004">
      <c r="A80" t="s">
        <v>895</v>
      </c>
      <c r="B80" s="2" t="s">
        <v>562</v>
      </c>
      <c r="C80" s="8" t="str">
        <f>IF(ISERROR(VLOOKUP(M3U[[#This Row],[TVGID]],GUIDE[[#All],[TVGID]],1,0)),"✗","✓")</f>
        <v>✓</v>
      </c>
      <c r="D80">
        <v>305</v>
      </c>
      <c r="E80" t="s">
        <v>271</v>
      </c>
      <c r="F8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Nick Junior HD</v>
      </c>
      <c r="G80" s="5" t="str">
        <f>IFERROR(IFERROR(VLOOKUP(M3U[[#This Row],[ID]],CHANNEL[#All],4,0),VLOOKUP(M3U[[#This Row],[ID]],CHANNEL_EXT[#All],4,0)),"-")</f>
        <v>https://images.maxstream.tv/sites/default/files/entry/0_pz6xuyqn/landscape_carousel_hdpi.webp</v>
      </c>
      <c r="H80" s="4" t="str">
        <f>IFERROR(IFERROR(VLOOKUP(M3U[[#This Row],[ID]],CHANNEL[#All],3,0),VLOOKUP(M3U[[#This Row],[ID]],CHANNEL_EXT[#All],3,0)),"-")</f>
        <v>Kids</v>
      </c>
      <c r="I80" s="8" t="str">
        <f>IF(ISERROR(VLOOKUP(M3U[[#This Row],[ID]]&amp;"-"&amp;M3U[[#This Row],[Q]],STREAM[[#All],[SID]],1,0)),"✗","✓")</f>
        <v>✗</v>
      </c>
      <c r="J80" t="str">
        <f>IFERROR(VLOOKUP(M3U[[#This Row],[ID]]&amp;"-"&amp;M3U[[#This Row],[Q]],STREAM[],5,0),"-")</f>
        <v>-</v>
      </c>
      <c r="K80" t="str">
        <f>IFERROR(VLOOKUP(M3U[[#This Row],[ID]]&amp;"-"&amp;M3U[[#This Row],[Q]],STREAM[],6,0),"-")</f>
        <v>-</v>
      </c>
      <c r="L80" t="b">
        <v>1</v>
      </c>
    </row>
    <row r="81" spans="1:12" hidden="1" x14ac:dyDescent="0.55000000000000004">
      <c r="A81" t="s">
        <v>141</v>
      </c>
      <c r="B81" s="2" t="s">
        <v>563</v>
      </c>
      <c r="C81" s="8" t="str">
        <f>IF(ISERROR(VLOOKUP(M3U[[#This Row],[TVGID]],GUIDE[[#All],[TVGID]],1,0)),"✗","✓")</f>
        <v>✓</v>
      </c>
      <c r="D81">
        <v>306</v>
      </c>
      <c r="E81" t="s">
        <v>321</v>
      </c>
      <c r="F8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Cartoon Network</v>
      </c>
      <c r="G81" s="5" t="str">
        <f>IFERROR(IFERROR(VLOOKUP(M3U[[#This Row],[ID]],CHANNEL[#All],4,0),VLOOKUP(M3U[[#This Row],[ID]],CHANNEL_EXT[#All],4,0)),"-")</f>
        <v>https://images.maxstream.tv/sites/default/files/entry/0_1lrqq4s0/landscape_carousel_hdpi.webp</v>
      </c>
      <c r="H81" s="4" t="str">
        <f>IFERROR(IFERROR(VLOOKUP(M3U[[#This Row],[ID]],CHANNEL[#All],3,0),VLOOKUP(M3U[[#This Row],[ID]],CHANNEL_EXT[#All],3,0)),"-")</f>
        <v>Kids</v>
      </c>
      <c r="I81" s="8" t="str">
        <f>IF(ISERROR(VLOOKUP(M3U[[#This Row],[ID]]&amp;"-"&amp;M3U[[#This Row],[Q]],STREAM[[#All],[SID]],1,0)),"✗","✓")</f>
        <v>✗</v>
      </c>
      <c r="J81" t="str">
        <f>IFERROR(VLOOKUP(M3U[[#This Row],[ID]]&amp;"-"&amp;M3U[[#This Row],[Q]],STREAM[],5,0),"-")</f>
        <v>-</v>
      </c>
      <c r="K81" t="str">
        <f>IFERROR(VLOOKUP(M3U[[#This Row],[ID]]&amp;"-"&amp;M3U[[#This Row],[Q]],STREAM[],6,0),"-")</f>
        <v>-</v>
      </c>
      <c r="L81" t="b">
        <v>0</v>
      </c>
    </row>
    <row r="82" spans="1:12" x14ac:dyDescent="0.55000000000000004">
      <c r="A82" t="s">
        <v>141</v>
      </c>
      <c r="B82" s="2" t="s">
        <v>563</v>
      </c>
      <c r="C82" s="8" t="str">
        <f>IF(ISERROR(VLOOKUP(M3U[[#This Row],[TVGID]],GUIDE[[#All],[TVGID]],1,0)),"✗","✓")</f>
        <v>✓</v>
      </c>
      <c r="D82">
        <v>306</v>
      </c>
      <c r="E82" t="s">
        <v>271</v>
      </c>
      <c r="F8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Cartoon Network HD</v>
      </c>
      <c r="G82" s="5" t="str">
        <f>IFERROR(IFERROR(VLOOKUP(M3U[[#This Row],[ID]],CHANNEL[#All],4,0),VLOOKUP(M3U[[#This Row],[ID]],CHANNEL_EXT[#All],4,0)),"-")</f>
        <v>https://images.maxstream.tv/sites/default/files/entry/0_1lrqq4s0/landscape_carousel_hdpi.webp</v>
      </c>
      <c r="H82" s="4" t="str">
        <f>IFERROR(IFERROR(VLOOKUP(M3U[[#This Row],[ID]],CHANNEL[#All],3,0),VLOOKUP(M3U[[#This Row],[ID]],CHANNEL_EXT[#All],3,0)),"-")</f>
        <v>Kids</v>
      </c>
      <c r="I82" s="8" t="str">
        <f>IF(ISERROR(VLOOKUP(M3U[[#This Row],[ID]]&amp;"-"&amp;M3U[[#This Row],[Q]],STREAM[[#All],[SID]],1,0)),"✗","✓")</f>
        <v>✗</v>
      </c>
      <c r="J82" t="str">
        <f>IFERROR(VLOOKUP(M3U[[#This Row],[ID]]&amp;"-"&amp;M3U[[#This Row],[Q]],STREAM[],5,0),"-")</f>
        <v>-</v>
      </c>
      <c r="K82" t="str">
        <f>IFERROR(VLOOKUP(M3U[[#This Row],[ID]]&amp;"-"&amp;M3U[[#This Row],[Q]],STREAM[],6,0),"-")</f>
        <v>-</v>
      </c>
      <c r="L82" t="b">
        <v>1</v>
      </c>
    </row>
    <row r="83" spans="1:12" hidden="1" x14ac:dyDescent="0.55000000000000004">
      <c r="A83" t="s">
        <v>2234</v>
      </c>
      <c r="B83" s="2" t="s">
        <v>2287</v>
      </c>
      <c r="C83" s="8" t="str">
        <f>IF(ISERROR(VLOOKUP(M3U[[#This Row],[TVGID]],GUIDE[[#All],[TVGID]],1,0)),"✗","✓")</f>
        <v>✓</v>
      </c>
      <c r="D83">
        <v>308</v>
      </c>
      <c r="E83" t="s">
        <v>321</v>
      </c>
      <c r="F8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Cartoonito</v>
      </c>
      <c r="G83" s="5" t="str">
        <f>IFERROR(IFERROR(VLOOKUP(M3U[[#This Row],[ID]],CHANNEL[#All],4,0),VLOOKUP(M3U[[#This Row],[ID]],CHANNEL_EXT[#All],4,0)),"-")</f>
        <v>https://images.maxstream.tv/sites/default/files/entry/0_3x6829f7/landscape_carousel_hdpi.webp</v>
      </c>
      <c r="H83" s="4" t="str">
        <f>IFERROR(IFERROR(VLOOKUP(M3U[[#This Row],[ID]],CHANNEL[#All],3,0),VLOOKUP(M3U[[#This Row],[ID]],CHANNEL_EXT[#All],3,0)),"-")</f>
        <v>Kids</v>
      </c>
      <c r="I83" s="8" t="str">
        <f>IF(ISERROR(VLOOKUP(M3U[[#This Row],[ID]]&amp;"-"&amp;M3U[[#This Row],[Q]],STREAM[[#All],[SID]],1,0)),"✗","✓")</f>
        <v>✗</v>
      </c>
      <c r="J83" t="str">
        <f>IFERROR(VLOOKUP(M3U[[#This Row],[ID]]&amp;"-"&amp;M3U[[#This Row],[Q]],STREAM[],5,0),"-")</f>
        <v>-</v>
      </c>
      <c r="K83" t="str">
        <f>IFERROR(VLOOKUP(M3U[[#This Row],[ID]]&amp;"-"&amp;M3U[[#This Row],[Q]],STREAM[],6,0),"-")</f>
        <v>-</v>
      </c>
      <c r="L83" t="b">
        <v>0</v>
      </c>
    </row>
    <row r="84" spans="1:12" x14ac:dyDescent="0.55000000000000004">
      <c r="A84" t="s">
        <v>2234</v>
      </c>
      <c r="B84" s="2" t="s">
        <v>2287</v>
      </c>
      <c r="C84" s="8" t="str">
        <f>IF(ISERROR(VLOOKUP(M3U[[#This Row],[TVGID]],GUIDE[[#All],[TVGID]],1,0)),"✗","✓")</f>
        <v>✓</v>
      </c>
      <c r="D84">
        <v>308</v>
      </c>
      <c r="E84" t="s">
        <v>271</v>
      </c>
      <c r="F8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Cartoonito HD</v>
      </c>
      <c r="G84" s="5" t="str">
        <f>IFERROR(IFERROR(VLOOKUP(M3U[[#This Row],[ID]],CHANNEL[#All],4,0),VLOOKUP(M3U[[#This Row],[ID]],CHANNEL_EXT[#All],4,0)),"-")</f>
        <v>https://images.maxstream.tv/sites/default/files/entry/0_3x6829f7/landscape_carousel_hdpi.webp</v>
      </c>
      <c r="H84" s="4" t="str">
        <f>IFERROR(IFERROR(VLOOKUP(M3U[[#This Row],[ID]],CHANNEL[#All],3,0),VLOOKUP(M3U[[#This Row],[ID]],CHANNEL_EXT[#All],3,0)),"-")</f>
        <v>Kids</v>
      </c>
      <c r="I84" s="8" t="str">
        <f>IF(ISERROR(VLOOKUP(M3U[[#This Row],[ID]]&amp;"-"&amp;M3U[[#This Row],[Q]],STREAM[[#All],[SID]],1,0)),"✗","✓")</f>
        <v>✗</v>
      </c>
      <c r="J84" t="str">
        <f>IFERROR(VLOOKUP(M3U[[#This Row],[ID]]&amp;"-"&amp;M3U[[#This Row],[Q]],STREAM[],5,0),"-")</f>
        <v>-</v>
      </c>
      <c r="K84" t="str">
        <f>IFERROR(VLOOKUP(M3U[[#This Row],[ID]]&amp;"-"&amp;M3U[[#This Row],[Q]],STREAM[],6,0),"-")</f>
        <v>-</v>
      </c>
      <c r="L84" t="b">
        <v>1</v>
      </c>
    </row>
    <row r="85" spans="1:12" hidden="1" x14ac:dyDescent="0.55000000000000004">
      <c r="A85" t="s">
        <v>144</v>
      </c>
      <c r="B85" s="2" t="s">
        <v>564</v>
      </c>
      <c r="C85" s="8" t="str">
        <f>IF(ISERROR(VLOOKUP(M3U[[#This Row],[TVGID]],GUIDE[[#All],[TVGID]],1,0)),"✗","✓")</f>
        <v>✓</v>
      </c>
      <c r="D85">
        <v>310</v>
      </c>
      <c r="E85" t="s">
        <v>321</v>
      </c>
      <c r="F8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DreamWorks</v>
      </c>
      <c r="G85" s="5" t="str">
        <f>IFERROR(IFERROR(VLOOKUP(M3U[[#This Row],[ID]],CHANNEL[#All],4,0),VLOOKUP(M3U[[#This Row],[ID]],CHANNEL_EXT[#All],4,0)),"-")</f>
        <v>https://images.maxstream.tv/sites/default/files/entry/0_h4cdmhi1/landscape_carousel_hdpi.webp</v>
      </c>
      <c r="H85" s="4" t="str">
        <f>IFERROR(IFERROR(VLOOKUP(M3U[[#This Row],[ID]],CHANNEL[#All],3,0),VLOOKUP(M3U[[#This Row],[ID]],CHANNEL_EXT[#All],3,0)),"-")</f>
        <v>Kids</v>
      </c>
      <c r="I85" s="8" t="str">
        <f>IF(ISERROR(VLOOKUP(M3U[[#This Row],[ID]]&amp;"-"&amp;M3U[[#This Row],[Q]],STREAM[[#All],[SID]],1,0)),"✗","✓")</f>
        <v>✗</v>
      </c>
      <c r="J85" t="str">
        <f>IFERROR(VLOOKUP(M3U[[#This Row],[ID]]&amp;"-"&amp;M3U[[#This Row],[Q]],STREAM[],5,0),"-")</f>
        <v>-</v>
      </c>
      <c r="K85" t="str">
        <f>IFERROR(VLOOKUP(M3U[[#This Row],[ID]]&amp;"-"&amp;M3U[[#This Row],[Q]],STREAM[],6,0),"-")</f>
        <v>-</v>
      </c>
      <c r="L85" t="b">
        <v>0</v>
      </c>
    </row>
    <row r="86" spans="1:12" x14ac:dyDescent="0.55000000000000004">
      <c r="A86" t="s">
        <v>144</v>
      </c>
      <c r="B86" s="2" t="s">
        <v>564</v>
      </c>
      <c r="C86" s="8" t="str">
        <f>IF(ISERROR(VLOOKUP(M3U[[#This Row],[TVGID]],GUIDE[[#All],[TVGID]],1,0)),"✗","✓")</f>
        <v>✓</v>
      </c>
      <c r="D86">
        <v>310</v>
      </c>
      <c r="E86" t="s">
        <v>271</v>
      </c>
      <c r="F8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DreamWorks HD</v>
      </c>
      <c r="G86" s="5" t="str">
        <f>IFERROR(IFERROR(VLOOKUP(M3U[[#This Row],[ID]],CHANNEL[#All],4,0),VLOOKUP(M3U[[#This Row],[ID]],CHANNEL_EXT[#All],4,0)),"-")</f>
        <v>https://images.maxstream.tv/sites/default/files/entry/0_h4cdmhi1/landscape_carousel_hdpi.webp</v>
      </c>
      <c r="H86" s="4" t="str">
        <f>IFERROR(IFERROR(VLOOKUP(M3U[[#This Row],[ID]],CHANNEL[#All],3,0),VLOOKUP(M3U[[#This Row],[ID]],CHANNEL_EXT[#All],3,0)),"-")</f>
        <v>Kids</v>
      </c>
      <c r="I86" s="8" t="str">
        <f>IF(ISERROR(VLOOKUP(M3U[[#This Row],[ID]]&amp;"-"&amp;M3U[[#This Row],[Q]],STREAM[[#All],[SID]],1,0)),"✗","✓")</f>
        <v>✗</v>
      </c>
      <c r="J86" t="str">
        <f>IFERROR(VLOOKUP(M3U[[#This Row],[ID]]&amp;"-"&amp;M3U[[#This Row],[Q]],STREAM[],5,0),"-")</f>
        <v>-</v>
      </c>
      <c r="K86" t="str">
        <f>IFERROR(VLOOKUP(M3U[[#This Row],[ID]]&amp;"-"&amp;M3U[[#This Row],[Q]],STREAM[],6,0),"-")</f>
        <v>-</v>
      </c>
      <c r="L86" t="b">
        <v>1</v>
      </c>
    </row>
    <row r="87" spans="1:12" x14ac:dyDescent="0.55000000000000004">
      <c r="A87" t="s">
        <v>277</v>
      </c>
      <c r="B87" s="2" t="s">
        <v>658</v>
      </c>
      <c r="C87" s="8" t="str">
        <f>IF(ISERROR(VLOOKUP(M3U[[#This Row],[TVGID]],GUIDE[[#All],[TVGID]],1,0)),"✗","✓")</f>
        <v>✓</v>
      </c>
      <c r="D87">
        <v>311</v>
      </c>
      <c r="E87" t="s">
        <v>271</v>
      </c>
      <c r="F8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Moonbug HD</v>
      </c>
      <c r="G87" s="5" t="str">
        <f>IFERROR(IFERROR(VLOOKUP(M3U[[#This Row],[ID]],CHANNEL[#All],4,0),VLOOKUP(M3U[[#This Row],[ID]],CHANNEL_EXT[#All],4,0)),"-")</f>
        <v>https://images.maxstream.tv/sites/default/files/entry/0_0pf1skv6/landscape_carousel_hdpi.webp</v>
      </c>
      <c r="H87" s="4" t="str">
        <f>IFERROR(IFERROR(VLOOKUP(M3U[[#This Row],[ID]],CHANNEL[#All],3,0),VLOOKUP(M3U[[#This Row],[ID]],CHANNEL_EXT[#All],3,0)),"-")</f>
        <v>Kids</v>
      </c>
      <c r="I87" s="8" t="str">
        <f>IF(ISERROR(VLOOKUP(M3U[[#This Row],[ID]]&amp;"-"&amp;M3U[[#This Row],[Q]],STREAM[[#All],[SID]],1,0)),"✗","✓")</f>
        <v>✗</v>
      </c>
      <c r="J87" t="str">
        <f>IFERROR(VLOOKUP(M3U[[#This Row],[ID]]&amp;"-"&amp;M3U[[#This Row],[Q]],STREAM[],5,0),"-")</f>
        <v>-</v>
      </c>
      <c r="K87" t="str">
        <f>IFERROR(VLOOKUP(M3U[[#This Row],[ID]]&amp;"-"&amp;M3U[[#This Row],[Q]],STREAM[],6,0),"-")</f>
        <v>-</v>
      </c>
      <c r="L87" t="b">
        <v>1</v>
      </c>
    </row>
    <row r="88" spans="1:12" x14ac:dyDescent="0.55000000000000004">
      <c r="A88" t="s">
        <v>146</v>
      </c>
      <c r="B88" s="2" t="s">
        <v>565</v>
      </c>
      <c r="C88" s="8" t="str">
        <f>IF(ISERROR(VLOOKUP(M3U[[#This Row],[TVGID]],GUIDE[[#All],[TVGID]],1,0)),"✗","✓")</f>
        <v>✓</v>
      </c>
      <c r="D88">
        <v>312</v>
      </c>
      <c r="E88" t="s">
        <v>321</v>
      </c>
      <c r="F8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Dunia Anak</v>
      </c>
      <c r="G88" s="5" t="str">
        <f>IFERROR(IFERROR(VLOOKUP(M3U[[#This Row],[ID]],CHANNEL[#All],4,0),VLOOKUP(M3U[[#This Row],[ID]],CHANNEL_EXT[#All],4,0)),"-")</f>
        <v>https://images.maxstream.tv/sites/default/files/entry/0_3wiy77wh/landscape_carousel_hdpi.webp</v>
      </c>
      <c r="H88" s="4" t="str">
        <f>IFERROR(IFERROR(VLOOKUP(M3U[[#This Row],[ID]],CHANNEL[#All],3,0),VLOOKUP(M3U[[#This Row],[ID]],CHANNEL_EXT[#All],3,0)),"-")</f>
        <v>Kids</v>
      </c>
      <c r="I88" s="8" t="str">
        <f>IF(ISERROR(VLOOKUP(M3U[[#This Row],[ID]]&amp;"-"&amp;M3U[[#This Row],[Q]],STREAM[[#All],[SID]],1,0)),"✗","✓")</f>
        <v>✗</v>
      </c>
      <c r="J88" t="str">
        <f>IFERROR(VLOOKUP(M3U[[#This Row],[ID]]&amp;"-"&amp;M3U[[#This Row],[Q]],STREAM[],5,0),"-")</f>
        <v>-</v>
      </c>
      <c r="K88" t="str">
        <f>IFERROR(VLOOKUP(M3U[[#This Row],[ID]]&amp;"-"&amp;M3U[[#This Row],[Q]],STREAM[],6,0),"-")</f>
        <v>-</v>
      </c>
      <c r="L88" t="b">
        <v>1</v>
      </c>
    </row>
    <row r="89" spans="1:12" hidden="1" x14ac:dyDescent="0.55000000000000004">
      <c r="A89" t="s">
        <v>893</v>
      </c>
      <c r="B89" s="2" t="s">
        <v>566</v>
      </c>
      <c r="C89" s="8" t="str">
        <f>IF(ISERROR(VLOOKUP(M3U[[#This Row],[TVGID]],GUIDE[[#All],[TVGID]],1,0)),"✗","✓")</f>
        <v>✓</v>
      </c>
      <c r="D89">
        <v>313</v>
      </c>
      <c r="E89" t="s">
        <v>321</v>
      </c>
      <c r="F8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My Kidz</v>
      </c>
      <c r="G89" s="5" t="str">
        <f>IFERROR(IFERROR(VLOOKUP(M3U[[#This Row],[ID]],CHANNEL[#All],4,0),VLOOKUP(M3U[[#This Row],[ID]],CHANNEL_EXT[#All],4,0)),"-")</f>
        <v>https://images.maxstream.tv/sites/default/files/entry/0_1qolvnju/landscape_carousel_hdpi.webp</v>
      </c>
      <c r="H89" s="4" t="str">
        <f>IFERROR(IFERROR(VLOOKUP(M3U[[#This Row],[ID]],CHANNEL[#All],3,0),VLOOKUP(M3U[[#This Row],[ID]],CHANNEL_EXT[#All],3,0)),"-")</f>
        <v>Kids</v>
      </c>
      <c r="I89" s="8" t="str">
        <f>IF(ISERROR(VLOOKUP(M3U[[#This Row],[ID]]&amp;"-"&amp;M3U[[#This Row],[Q]],STREAM[[#All],[SID]],1,0)),"✗","✓")</f>
        <v>✗</v>
      </c>
      <c r="J89" t="str">
        <f>IFERROR(VLOOKUP(M3U[[#This Row],[ID]]&amp;"-"&amp;M3U[[#This Row],[Q]],STREAM[],5,0),"-")</f>
        <v>-</v>
      </c>
      <c r="K89" t="str">
        <f>IFERROR(VLOOKUP(M3U[[#This Row],[ID]]&amp;"-"&amp;M3U[[#This Row],[Q]],STREAM[],6,0),"-")</f>
        <v>-</v>
      </c>
      <c r="L89" t="b">
        <v>0</v>
      </c>
    </row>
    <row r="90" spans="1:12" x14ac:dyDescent="0.55000000000000004">
      <c r="A90" t="s">
        <v>893</v>
      </c>
      <c r="B90" s="2" t="s">
        <v>566</v>
      </c>
      <c r="C90" s="8" t="str">
        <f>IF(ISERROR(VLOOKUP(M3U[[#This Row],[TVGID]],GUIDE[[#All],[TVGID]],1,0)),"✗","✓")</f>
        <v>✓</v>
      </c>
      <c r="D90">
        <v>313</v>
      </c>
      <c r="E90" t="s">
        <v>271</v>
      </c>
      <c r="F9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My Kidz HD</v>
      </c>
      <c r="G90" s="5" t="str">
        <f>IFERROR(IFERROR(VLOOKUP(M3U[[#This Row],[ID]],CHANNEL[#All],4,0),VLOOKUP(M3U[[#This Row],[ID]],CHANNEL_EXT[#All],4,0)),"-")</f>
        <v>https://images.maxstream.tv/sites/default/files/entry/0_1qolvnju/landscape_carousel_hdpi.webp</v>
      </c>
      <c r="H90" s="4" t="str">
        <f>IFERROR(IFERROR(VLOOKUP(M3U[[#This Row],[ID]],CHANNEL[#All],3,0),VLOOKUP(M3U[[#This Row],[ID]],CHANNEL_EXT[#All],3,0)),"-")</f>
        <v>Kids</v>
      </c>
      <c r="I90" s="8" t="str">
        <f>IF(ISERROR(VLOOKUP(M3U[[#This Row],[ID]]&amp;"-"&amp;M3U[[#This Row],[Q]],STREAM[[#All],[SID]],1,0)),"✗","✓")</f>
        <v>✗</v>
      </c>
      <c r="J90" t="str">
        <f>IFERROR(VLOOKUP(M3U[[#This Row],[ID]]&amp;"-"&amp;M3U[[#This Row],[Q]],STREAM[],5,0),"-")</f>
        <v>-</v>
      </c>
      <c r="K90" t="str">
        <f>IFERROR(VLOOKUP(M3U[[#This Row],[ID]]&amp;"-"&amp;M3U[[#This Row],[Q]],STREAM[],6,0),"-")</f>
        <v>-</v>
      </c>
      <c r="L90" t="b">
        <v>1</v>
      </c>
    </row>
    <row r="91" spans="1:12" hidden="1" x14ac:dyDescent="0.55000000000000004">
      <c r="A91" t="s">
        <v>786</v>
      </c>
      <c r="B91" s="2" t="s">
        <v>677</v>
      </c>
      <c r="C91" s="8" t="str">
        <f>IF(ISERROR(VLOOKUP(M3U[[#This Row],[TVGID]],GUIDE[[#All],[TVGID]],1,0)),"✗","✓")</f>
        <v>✓</v>
      </c>
      <c r="D91">
        <v>314</v>
      </c>
      <c r="E91" t="s">
        <v>321</v>
      </c>
      <c r="F9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MAXKids</v>
      </c>
      <c r="G91" s="5" t="str">
        <f>IFERROR(IFERROR(VLOOKUP(M3U[[#This Row],[ID]],CHANNEL[#All],4,0),VLOOKUP(M3U[[#This Row],[ID]],CHANNEL_EXT[#All],4,0)),"-")</f>
        <v>https://images.maxstream.tv/sites/default/files/entry/0_ynh2anw4/landscape_carousel_hdpi.webp</v>
      </c>
      <c r="H91" s="4" t="str">
        <f>IFERROR(IFERROR(VLOOKUP(M3U[[#This Row],[ID]],CHANNEL[#All],3,0),VLOOKUP(M3U[[#This Row],[ID]],CHANNEL_EXT[#All],3,0)),"-")</f>
        <v>Kids</v>
      </c>
      <c r="I91" s="8" t="str">
        <f>IF(ISERROR(VLOOKUP(M3U[[#This Row],[ID]]&amp;"-"&amp;M3U[[#This Row],[Q]],STREAM[[#All],[SID]],1,0)),"✗","✓")</f>
        <v>✗</v>
      </c>
      <c r="J91" t="str">
        <f>IFERROR(VLOOKUP(M3U[[#This Row],[ID]]&amp;"-"&amp;M3U[[#This Row],[Q]],STREAM[],5,0),"-")</f>
        <v>-</v>
      </c>
      <c r="K91" t="str">
        <f>IFERROR(VLOOKUP(M3U[[#This Row],[ID]]&amp;"-"&amp;M3U[[#This Row],[Q]],STREAM[],6,0),"-")</f>
        <v>-</v>
      </c>
      <c r="L91" t="b">
        <v>0</v>
      </c>
    </row>
    <row r="92" spans="1:12" x14ac:dyDescent="0.55000000000000004">
      <c r="A92" t="s">
        <v>786</v>
      </c>
      <c r="B92" s="2" t="s">
        <v>677</v>
      </c>
      <c r="C92" s="8" t="str">
        <f>IF(ISERROR(VLOOKUP(M3U[[#This Row],[TVGID]],GUIDE[[#All],[TVGID]],1,0)),"✗","✓")</f>
        <v>✓</v>
      </c>
      <c r="D92">
        <v>314</v>
      </c>
      <c r="E92" t="s">
        <v>271</v>
      </c>
      <c r="F9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MAXKids HD</v>
      </c>
      <c r="G92" s="5" t="str">
        <f>IFERROR(IFERROR(VLOOKUP(M3U[[#This Row],[ID]],CHANNEL[#All],4,0),VLOOKUP(M3U[[#This Row],[ID]],CHANNEL_EXT[#All],4,0)),"-")</f>
        <v>https://images.maxstream.tv/sites/default/files/entry/0_ynh2anw4/landscape_carousel_hdpi.webp</v>
      </c>
      <c r="H92" s="4" t="str">
        <f>IFERROR(IFERROR(VLOOKUP(M3U[[#This Row],[ID]],CHANNEL[#All],3,0),VLOOKUP(M3U[[#This Row],[ID]],CHANNEL_EXT[#All],3,0)),"-")</f>
        <v>Kids</v>
      </c>
      <c r="I92" s="8" t="str">
        <f>IF(ISERROR(VLOOKUP(M3U[[#This Row],[ID]]&amp;"-"&amp;M3U[[#This Row],[Q]],STREAM[[#All],[SID]],1,0)),"✗","✓")</f>
        <v>✓</v>
      </c>
      <c r="J92" t="str">
        <f>IFERROR(VLOOKUP(M3U[[#This Row],[ID]]&amp;"-"&amp;M3U[[#This Row],[Q]],STREAM[],5,0),"-")</f>
        <v>239.1.1.201</v>
      </c>
      <c r="K92">
        <f>IFERROR(VLOOKUP(M3U[[#This Row],[ID]]&amp;"-"&amp;M3U[[#This Row],[Q]],STREAM[],6,0),"-")</f>
        <v>9180</v>
      </c>
      <c r="L92" t="b">
        <v>1</v>
      </c>
    </row>
    <row r="93" spans="1:12" hidden="1" x14ac:dyDescent="0.55000000000000004">
      <c r="A93" t="s">
        <v>149</v>
      </c>
      <c r="B93" s="2" t="s">
        <v>567</v>
      </c>
      <c r="C93" s="8" t="str">
        <f>IF(ISERROR(VLOOKUP(M3U[[#This Row],[TVGID]],GUIDE[[#All],[TVGID]],1,0)),"✗","✓")</f>
        <v>✓</v>
      </c>
      <c r="D93">
        <v>315</v>
      </c>
      <c r="E93" t="s">
        <v>321</v>
      </c>
      <c r="F9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Horee</v>
      </c>
      <c r="G93" s="5" t="str">
        <f>IFERROR(IFERROR(VLOOKUP(M3U[[#This Row],[ID]],CHANNEL[#All],4,0),VLOOKUP(M3U[[#This Row],[ID]],CHANNEL_EXT[#All],4,0)),"-")</f>
        <v>https://images.maxstream.tv/sites/default/files/entry/0_h0tqx9o4/landscape_carousel_hdpi.webp</v>
      </c>
      <c r="H93" s="4" t="str">
        <f>IFERROR(IFERROR(VLOOKUP(M3U[[#This Row],[ID]],CHANNEL[#All],3,0),VLOOKUP(M3U[[#This Row],[ID]],CHANNEL_EXT[#All],3,0)),"-")</f>
        <v>Kids</v>
      </c>
      <c r="I93" s="8" t="str">
        <f>IF(ISERROR(VLOOKUP(M3U[[#This Row],[ID]]&amp;"-"&amp;M3U[[#This Row],[Q]],STREAM[[#All],[SID]],1,0)),"✗","✓")</f>
        <v>✗</v>
      </c>
      <c r="J93" t="str">
        <f>IFERROR(VLOOKUP(M3U[[#This Row],[ID]]&amp;"-"&amp;M3U[[#This Row],[Q]],STREAM[],5,0),"-")</f>
        <v>-</v>
      </c>
      <c r="K93" t="str">
        <f>IFERROR(VLOOKUP(M3U[[#This Row],[ID]]&amp;"-"&amp;M3U[[#This Row],[Q]],STREAM[],6,0),"-")</f>
        <v>-</v>
      </c>
      <c r="L93" t="b">
        <v>0</v>
      </c>
    </row>
    <row r="94" spans="1:12" x14ac:dyDescent="0.55000000000000004">
      <c r="A94" t="s">
        <v>149</v>
      </c>
      <c r="B94" s="2" t="s">
        <v>567</v>
      </c>
      <c r="C94" s="8" t="str">
        <f>IF(ISERROR(VLOOKUP(M3U[[#This Row],[TVGID]],GUIDE[[#All],[TVGID]],1,0)),"✗","✓")</f>
        <v>✓</v>
      </c>
      <c r="D94">
        <v>315</v>
      </c>
      <c r="E94" t="s">
        <v>271</v>
      </c>
      <c r="F9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Horee HD</v>
      </c>
      <c r="G94" s="5" t="str">
        <f>IFERROR(IFERROR(VLOOKUP(M3U[[#This Row],[ID]],CHANNEL[#All],4,0),VLOOKUP(M3U[[#This Row],[ID]],CHANNEL_EXT[#All],4,0)),"-")</f>
        <v>https://images.maxstream.tv/sites/default/files/entry/0_h0tqx9o4/landscape_carousel_hdpi.webp</v>
      </c>
      <c r="H94" s="4" t="str">
        <f>IFERROR(IFERROR(VLOOKUP(M3U[[#This Row],[ID]],CHANNEL[#All],3,0),VLOOKUP(M3U[[#This Row],[ID]],CHANNEL_EXT[#All],3,0)),"-")</f>
        <v>Kids</v>
      </c>
      <c r="I94" s="8" t="str">
        <f>IF(ISERROR(VLOOKUP(M3U[[#This Row],[ID]]&amp;"-"&amp;M3U[[#This Row],[Q]],STREAM[[#All],[SID]],1,0)),"✗","✓")</f>
        <v>✗</v>
      </c>
      <c r="J94" t="str">
        <f>IFERROR(VLOOKUP(M3U[[#This Row],[ID]]&amp;"-"&amp;M3U[[#This Row],[Q]],STREAM[],5,0),"-")</f>
        <v>-</v>
      </c>
      <c r="K94" t="str">
        <f>IFERROR(VLOOKUP(M3U[[#This Row],[ID]]&amp;"-"&amp;M3U[[#This Row],[Q]],STREAM[],6,0),"-")</f>
        <v>-</v>
      </c>
      <c r="L94" t="b">
        <v>1</v>
      </c>
    </row>
    <row r="95" spans="1:12" hidden="1" x14ac:dyDescent="0.55000000000000004">
      <c r="A95" t="s">
        <v>151</v>
      </c>
      <c r="B95" s="2" t="s">
        <v>568</v>
      </c>
      <c r="C95" s="8" t="str">
        <f>IF(ISERROR(VLOOKUP(M3U[[#This Row],[TVGID]],GUIDE[[#All],[TVGID]],1,0)),"✗","✓")</f>
        <v>✓</v>
      </c>
      <c r="D95">
        <v>316</v>
      </c>
      <c r="E95" t="s">
        <v>321</v>
      </c>
      <c r="F9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Mentari TV</v>
      </c>
      <c r="G95" s="5" t="str">
        <f>IFERROR(IFERROR(VLOOKUP(M3U[[#This Row],[ID]],CHANNEL[#All],4,0),VLOOKUP(M3U[[#This Row],[ID]],CHANNEL_EXT[#All],4,0)),"-")</f>
        <v>https://images.maxstream.tv/sites/default/files/entry/0_0hjh536t/landscape_carousel_hdpi.webp</v>
      </c>
      <c r="H95" s="4" t="str">
        <f>IFERROR(IFERROR(VLOOKUP(M3U[[#This Row],[ID]],CHANNEL[#All],3,0),VLOOKUP(M3U[[#This Row],[ID]],CHANNEL_EXT[#All],3,0)),"-")</f>
        <v>Kids</v>
      </c>
      <c r="I95" s="8" t="str">
        <f>IF(ISERROR(VLOOKUP(M3U[[#This Row],[ID]]&amp;"-"&amp;M3U[[#This Row],[Q]],STREAM[[#All],[SID]],1,0)),"✗","✓")</f>
        <v>✗</v>
      </c>
      <c r="J95" t="str">
        <f>IFERROR(VLOOKUP(M3U[[#This Row],[ID]]&amp;"-"&amp;M3U[[#This Row],[Q]],STREAM[],5,0),"-")</f>
        <v>-</v>
      </c>
      <c r="K95" t="str">
        <f>IFERROR(VLOOKUP(M3U[[#This Row],[ID]]&amp;"-"&amp;M3U[[#This Row],[Q]],STREAM[],6,0),"-")</f>
        <v>-</v>
      </c>
      <c r="L95" t="b">
        <v>0</v>
      </c>
    </row>
    <row r="96" spans="1:12" x14ac:dyDescent="0.55000000000000004">
      <c r="A96" t="s">
        <v>151</v>
      </c>
      <c r="B96" s="2" t="s">
        <v>568</v>
      </c>
      <c r="C96" s="8" t="str">
        <f>IF(ISERROR(VLOOKUP(M3U[[#This Row],[TVGID]],GUIDE[[#All],[TVGID]],1,0)),"✗","✓")</f>
        <v>✓</v>
      </c>
      <c r="D96">
        <v>316</v>
      </c>
      <c r="E96" t="s">
        <v>271</v>
      </c>
      <c r="F9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Mentari TV HD</v>
      </c>
      <c r="G96" s="5" t="str">
        <f>IFERROR(IFERROR(VLOOKUP(M3U[[#This Row],[ID]],CHANNEL[#All],4,0),VLOOKUP(M3U[[#This Row],[ID]],CHANNEL_EXT[#All],4,0)),"-")</f>
        <v>https://images.maxstream.tv/sites/default/files/entry/0_0hjh536t/landscape_carousel_hdpi.webp</v>
      </c>
      <c r="H96" s="4" t="str">
        <f>IFERROR(IFERROR(VLOOKUP(M3U[[#This Row],[ID]],CHANNEL[#All],3,0),VLOOKUP(M3U[[#This Row],[ID]],CHANNEL_EXT[#All],3,0)),"-")</f>
        <v>Kids</v>
      </c>
      <c r="I96" s="8" t="str">
        <f>IF(ISERROR(VLOOKUP(M3U[[#This Row],[ID]]&amp;"-"&amp;M3U[[#This Row],[Q]],STREAM[[#All],[SID]],1,0)),"✗","✓")</f>
        <v>✗</v>
      </c>
      <c r="J96" t="str">
        <f>IFERROR(VLOOKUP(M3U[[#This Row],[ID]]&amp;"-"&amp;M3U[[#This Row],[Q]],STREAM[],5,0),"-")</f>
        <v>-</v>
      </c>
      <c r="K96" t="str">
        <f>IFERROR(VLOOKUP(M3U[[#This Row],[ID]]&amp;"-"&amp;M3U[[#This Row],[Q]],STREAM[],6,0),"-")</f>
        <v>-</v>
      </c>
      <c r="L96" t="b">
        <v>1</v>
      </c>
    </row>
    <row r="97" spans="1:12" hidden="1" x14ac:dyDescent="0.55000000000000004">
      <c r="A97" t="s">
        <v>681</v>
      </c>
      <c r="B97" s="2" t="s">
        <v>569</v>
      </c>
      <c r="C97" s="8" t="str">
        <f>IF(ISERROR(VLOOKUP(M3U[[#This Row],[TVGID]],GUIDE[[#All],[TVGID]],1,0)),"✗","✓")</f>
        <v>✓</v>
      </c>
      <c r="D97">
        <v>402</v>
      </c>
      <c r="E97" t="s">
        <v>321</v>
      </c>
      <c r="F9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afn</v>
      </c>
      <c r="G97" s="5" t="str">
        <f>IFERROR(IFERROR(VLOOKUP(M3U[[#This Row],[ID]],CHANNEL[#All],4,0),VLOOKUP(M3U[[#This Row],[ID]],CHANNEL_EXT[#All],4,0)),"-")</f>
        <v>https://images.maxstream.tv/sites/default/files/entry/0_3q4th1ok/landscape_carousel_hdpi.webp</v>
      </c>
      <c r="H97" s="4" t="str">
        <f>IFERROR(IFERROR(VLOOKUP(M3U[[#This Row],[ID]],CHANNEL[#All],3,0),VLOOKUP(M3U[[#This Row],[ID]],CHANNEL_EXT[#All],3,0)),"-")</f>
        <v>Lifestyle</v>
      </c>
      <c r="I97" s="8" t="str">
        <f>IF(ISERROR(VLOOKUP(M3U[[#This Row],[ID]]&amp;"-"&amp;M3U[[#This Row],[Q]],STREAM[[#All],[SID]],1,0)),"✗","✓")</f>
        <v>✗</v>
      </c>
      <c r="J97" t="str">
        <f>IFERROR(VLOOKUP(M3U[[#This Row],[ID]]&amp;"-"&amp;M3U[[#This Row],[Q]],STREAM[],5,0),"-")</f>
        <v>-</v>
      </c>
      <c r="K97" t="str">
        <f>IFERROR(VLOOKUP(M3U[[#This Row],[ID]]&amp;"-"&amp;M3U[[#This Row],[Q]],STREAM[],6,0),"-")</f>
        <v>-</v>
      </c>
      <c r="L97" t="b">
        <v>0</v>
      </c>
    </row>
    <row r="98" spans="1:12" x14ac:dyDescent="0.55000000000000004">
      <c r="A98" t="s">
        <v>681</v>
      </c>
      <c r="B98" s="2" t="s">
        <v>569</v>
      </c>
      <c r="C98" s="8" t="str">
        <f>IF(ISERROR(VLOOKUP(M3U[[#This Row],[TVGID]],GUIDE[[#All],[TVGID]],1,0)),"✗","✓")</f>
        <v>✓</v>
      </c>
      <c r="D98">
        <v>402</v>
      </c>
      <c r="E98" t="s">
        <v>271</v>
      </c>
      <c r="F9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afn HD</v>
      </c>
      <c r="G98" s="5" t="str">
        <f>IFERROR(IFERROR(VLOOKUP(M3U[[#This Row],[ID]],CHANNEL[#All],4,0),VLOOKUP(M3U[[#This Row],[ID]],CHANNEL_EXT[#All],4,0)),"-")</f>
        <v>https://images.maxstream.tv/sites/default/files/entry/0_3q4th1ok/landscape_carousel_hdpi.webp</v>
      </c>
      <c r="H98" s="4" t="str">
        <f>IFERROR(IFERROR(VLOOKUP(M3U[[#This Row],[ID]],CHANNEL[#All],3,0),VLOOKUP(M3U[[#This Row],[ID]],CHANNEL_EXT[#All],3,0)),"-")</f>
        <v>Lifestyle</v>
      </c>
      <c r="I98" s="8" t="str">
        <f>IF(ISERROR(VLOOKUP(M3U[[#This Row],[ID]]&amp;"-"&amp;M3U[[#This Row],[Q]],STREAM[[#All],[SID]],1,0)),"✗","✓")</f>
        <v>✗</v>
      </c>
      <c r="J98" t="str">
        <f>IFERROR(VLOOKUP(M3U[[#This Row],[ID]]&amp;"-"&amp;M3U[[#This Row],[Q]],STREAM[],5,0),"-")</f>
        <v>-</v>
      </c>
      <c r="K98" t="str">
        <f>IFERROR(VLOOKUP(M3U[[#This Row],[ID]]&amp;"-"&amp;M3U[[#This Row],[Q]],STREAM[],6,0),"-")</f>
        <v>-</v>
      </c>
      <c r="L98" t="b">
        <v>1</v>
      </c>
    </row>
    <row r="99" spans="1:12" hidden="1" x14ac:dyDescent="0.55000000000000004">
      <c r="A99" t="s">
        <v>170</v>
      </c>
      <c r="B99" s="2" t="s">
        <v>571</v>
      </c>
      <c r="C99" s="8" t="str">
        <f>IF(ISERROR(VLOOKUP(M3U[[#This Row],[TVGID]],GUIDE[[#All],[TVGID]],1,0)),"✗","✓")</f>
        <v>✓</v>
      </c>
      <c r="D99">
        <v>404</v>
      </c>
      <c r="E99" t="s">
        <v>321</v>
      </c>
      <c r="F9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Fashion TV</v>
      </c>
      <c r="G99" s="5" t="str">
        <f>IFERROR(IFERROR(VLOOKUP(M3U[[#This Row],[ID]],CHANNEL[#All],4,0),VLOOKUP(M3U[[#This Row],[ID]],CHANNEL_EXT[#All],4,0)),"-")</f>
        <v>https://images.maxstream.tv/sites/default/files/entry/0_brgzui5c/landscape_carousel_hdpi.webp</v>
      </c>
      <c r="H99" s="4" t="str">
        <f>IFERROR(IFERROR(VLOOKUP(M3U[[#This Row],[ID]],CHANNEL[#All],3,0),VLOOKUP(M3U[[#This Row],[ID]],CHANNEL_EXT[#All],3,0)),"-")</f>
        <v>Lifestyle</v>
      </c>
      <c r="I99" s="8" t="str">
        <f>IF(ISERROR(VLOOKUP(M3U[[#This Row],[ID]]&amp;"-"&amp;M3U[[#This Row],[Q]],STREAM[[#All],[SID]],1,0)),"✗","✓")</f>
        <v>✗</v>
      </c>
      <c r="J99" t="str">
        <f>IFERROR(VLOOKUP(M3U[[#This Row],[ID]]&amp;"-"&amp;M3U[[#This Row],[Q]],STREAM[],5,0),"-")</f>
        <v>-</v>
      </c>
      <c r="K99" t="str">
        <f>IFERROR(VLOOKUP(M3U[[#This Row],[ID]]&amp;"-"&amp;M3U[[#This Row],[Q]],STREAM[],6,0),"-")</f>
        <v>-</v>
      </c>
      <c r="L99" t="b">
        <v>0</v>
      </c>
    </row>
    <row r="100" spans="1:12" x14ac:dyDescent="0.55000000000000004">
      <c r="A100" t="s">
        <v>170</v>
      </c>
      <c r="B100" s="2" t="s">
        <v>571</v>
      </c>
      <c r="C100" s="8" t="str">
        <f>IF(ISERROR(VLOOKUP(M3U[[#This Row],[TVGID]],GUIDE[[#All],[TVGID]],1,0)),"✗","✓")</f>
        <v>✓</v>
      </c>
      <c r="D100">
        <v>404</v>
      </c>
      <c r="E100" t="s">
        <v>271</v>
      </c>
      <c r="F10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Fashion TV HD</v>
      </c>
      <c r="G100" s="5" t="str">
        <f>IFERROR(IFERROR(VLOOKUP(M3U[[#This Row],[ID]],CHANNEL[#All],4,0),VLOOKUP(M3U[[#This Row],[ID]],CHANNEL_EXT[#All],4,0)),"-")</f>
        <v>https://images.maxstream.tv/sites/default/files/entry/0_brgzui5c/landscape_carousel_hdpi.webp</v>
      </c>
      <c r="H100" s="4" t="str">
        <f>IFERROR(IFERROR(VLOOKUP(M3U[[#This Row],[ID]],CHANNEL[#All],3,0),VLOOKUP(M3U[[#This Row],[ID]],CHANNEL_EXT[#All],3,0)),"-")</f>
        <v>Lifestyle</v>
      </c>
      <c r="I100" s="8" t="str">
        <f>IF(ISERROR(VLOOKUP(M3U[[#This Row],[ID]]&amp;"-"&amp;M3U[[#This Row],[Q]],STREAM[[#All],[SID]],1,0)),"✗","✓")</f>
        <v>✗</v>
      </c>
      <c r="J100" t="str">
        <f>IFERROR(VLOOKUP(M3U[[#This Row],[ID]]&amp;"-"&amp;M3U[[#This Row],[Q]],STREAM[],5,0),"-")</f>
        <v>-</v>
      </c>
      <c r="K100" t="str">
        <f>IFERROR(VLOOKUP(M3U[[#This Row],[ID]]&amp;"-"&amp;M3U[[#This Row],[Q]],STREAM[],6,0),"-")</f>
        <v>-</v>
      </c>
      <c r="L100" t="b">
        <v>1</v>
      </c>
    </row>
    <row r="101" spans="1:12" hidden="1" x14ac:dyDescent="0.55000000000000004">
      <c r="A101" t="s">
        <v>131</v>
      </c>
      <c r="B101" s="2" t="s">
        <v>572</v>
      </c>
      <c r="C101" s="8" t="str">
        <f>IF(ISERROR(VLOOKUP(M3U[[#This Row],[TVGID]],GUIDE[[#All],[TVGID]],1,0)),"✗","✓")</f>
        <v>✓</v>
      </c>
      <c r="D101">
        <v>406</v>
      </c>
      <c r="E101" t="s">
        <v>321</v>
      </c>
      <c r="F10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TLC</v>
      </c>
      <c r="G101" s="5" t="str">
        <f>IFERROR(IFERROR(VLOOKUP(M3U[[#This Row],[ID]],CHANNEL[#All],4,0),VLOOKUP(M3U[[#This Row],[ID]],CHANNEL_EXT[#All],4,0)),"-")</f>
        <v>https://images.maxstream.tv/sites/default/files/entry/0_57ujtr57/landscape_carousel_hdpi.webp</v>
      </c>
      <c r="H101" s="4" t="str">
        <f>IFERROR(IFERROR(VLOOKUP(M3U[[#This Row],[ID]],CHANNEL[#All],3,0),VLOOKUP(M3U[[#This Row],[ID]],CHANNEL_EXT[#All],3,0)),"-")</f>
        <v>Lifestyle</v>
      </c>
      <c r="I101" s="8" t="str">
        <f>IF(ISERROR(VLOOKUP(M3U[[#This Row],[ID]]&amp;"-"&amp;M3U[[#This Row],[Q]],STREAM[[#All],[SID]],1,0)),"✗","✓")</f>
        <v>✗</v>
      </c>
      <c r="J101" t="str">
        <f>IFERROR(VLOOKUP(M3U[[#This Row],[ID]]&amp;"-"&amp;M3U[[#This Row],[Q]],STREAM[],5,0),"-")</f>
        <v>-</v>
      </c>
      <c r="K101" t="str">
        <f>IFERROR(VLOOKUP(M3U[[#This Row],[ID]]&amp;"-"&amp;M3U[[#This Row],[Q]],STREAM[],6,0),"-")</f>
        <v>-</v>
      </c>
      <c r="L101" t="b">
        <v>0</v>
      </c>
    </row>
    <row r="102" spans="1:12" x14ac:dyDescent="0.55000000000000004">
      <c r="A102" t="s">
        <v>131</v>
      </c>
      <c r="B102" s="2" t="s">
        <v>572</v>
      </c>
      <c r="C102" s="8" t="str">
        <f>IF(ISERROR(VLOOKUP(M3U[[#This Row],[TVGID]],GUIDE[[#All],[TVGID]],1,0)),"✗","✓")</f>
        <v>✓</v>
      </c>
      <c r="D102">
        <v>406</v>
      </c>
      <c r="E102" t="s">
        <v>271</v>
      </c>
      <c r="F10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TLC HD</v>
      </c>
      <c r="G102" s="5" t="str">
        <f>IFERROR(IFERROR(VLOOKUP(M3U[[#This Row],[ID]],CHANNEL[#All],4,0),VLOOKUP(M3U[[#This Row],[ID]],CHANNEL_EXT[#All],4,0)),"-")</f>
        <v>https://images.maxstream.tv/sites/default/files/entry/0_57ujtr57/landscape_carousel_hdpi.webp</v>
      </c>
      <c r="H102" s="4" t="str">
        <f>IFERROR(IFERROR(VLOOKUP(M3U[[#This Row],[ID]],CHANNEL[#All],3,0),VLOOKUP(M3U[[#This Row],[ID]],CHANNEL_EXT[#All],3,0)),"-")</f>
        <v>Lifestyle</v>
      </c>
      <c r="I102" s="8" t="str">
        <f>IF(ISERROR(VLOOKUP(M3U[[#This Row],[ID]]&amp;"-"&amp;M3U[[#This Row],[Q]],STREAM[[#All],[SID]],1,0)),"✗","✓")</f>
        <v>✗</v>
      </c>
      <c r="J102" t="str">
        <f>IFERROR(VLOOKUP(M3U[[#This Row],[ID]]&amp;"-"&amp;M3U[[#This Row],[Q]],STREAM[],5,0),"-")</f>
        <v>-</v>
      </c>
      <c r="K102" t="str">
        <f>IFERROR(VLOOKUP(M3U[[#This Row],[ID]]&amp;"-"&amp;M3U[[#This Row],[Q]],STREAM[],6,0),"-")</f>
        <v>-</v>
      </c>
      <c r="L102" t="b">
        <v>1</v>
      </c>
    </row>
    <row r="103" spans="1:12" hidden="1" x14ac:dyDescent="0.55000000000000004">
      <c r="A103" t="s">
        <v>892</v>
      </c>
      <c r="B103" s="2" t="s">
        <v>573</v>
      </c>
      <c r="C103" s="8" t="str">
        <f>IF(ISERROR(VLOOKUP(M3U[[#This Row],[TVGID]],GUIDE[[#All],[TVGID]],1,0)),"✗","✓")</f>
        <v>✓</v>
      </c>
      <c r="D103">
        <v>451</v>
      </c>
      <c r="E103" t="s">
        <v>321</v>
      </c>
      <c r="F10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Musik Indonesia</v>
      </c>
      <c r="G103" s="5" t="str">
        <f>IFERROR(IFERROR(VLOOKUP(M3U[[#This Row],[ID]],CHANNEL[#All],4,0),VLOOKUP(M3U[[#This Row],[ID]],CHANNEL_EXT[#All],4,0)),"-")</f>
        <v>https://images.maxstream.tv/sites/default/files/entry/0_qe3k01sq/landscape_carousel_hdpi.webp</v>
      </c>
      <c r="H103" s="4" t="str">
        <f>IFERROR(IFERROR(VLOOKUP(M3U[[#This Row],[ID]],CHANNEL[#All],3,0),VLOOKUP(M3U[[#This Row],[ID]],CHANNEL_EXT[#All],3,0)),"-")</f>
        <v>Lifestyle</v>
      </c>
      <c r="I103" s="8" t="str">
        <f>IF(ISERROR(VLOOKUP(M3U[[#This Row],[ID]]&amp;"-"&amp;M3U[[#This Row],[Q]],STREAM[[#All],[SID]],1,0)),"✗","✓")</f>
        <v>✗</v>
      </c>
      <c r="J103" t="str">
        <f>IFERROR(VLOOKUP(M3U[[#This Row],[ID]]&amp;"-"&amp;M3U[[#This Row],[Q]],STREAM[],5,0),"-")</f>
        <v>-</v>
      </c>
      <c r="K103" t="str">
        <f>IFERROR(VLOOKUP(M3U[[#This Row],[ID]]&amp;"-"&amp;M3U[[#This Row],[Q]],STREAM[],6,0),"-")</f>
        <v>-</v>
      </c>
      <c r="L103" t="b">
        <v>0</v>
      </c>
    </row>
    <row r="104" spans="1:12" x14ac:dyDescent="0.55000000000000004">
      <c r="A104" t="s">
        <v>892</v>
      </c>
      <c r="B104" s="2" t="s">
        <v>573</v>
      </c>
      <c r="C104" s="8" t="str">
        <f>IF(ISERROR(VLOOKUP(M3U[[#This Row],[TVGID]],GUIDE[[#All],[TVGID]],1,0)),"✗","✓")</f>
        <v>✓</v>
      </c>
      <c r="D104">
        <v>451</v>
      </c>
      <c r="E104" t="s">
        <v>271</v>
      </c>
      <c r="F10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Musik Indonesia HD</v>
      </c>
      <c r="G104" s="5" t="str">
        <f>IFERROR(IFERROR(VLOOKUP(M3U[[#This Row],[ID]],CHANNEL[#All],4,0),VLOOKUP(M3U[[#This Row],[ID]],CHANNEL_EXT[#All],4,0)),"-")</f>
        <v>https://images.maxstream.tv/sites/default/files/entry/0_qe3k01sq/landscape_carousel_hdpi.webp</v>
      </c>
      <c r="H104" s="4" t="str">
        <f>IFERROR(IFERROR(VLOOKUP(M3U[[#This Row],[ID]],CHANNEL[#All],3,0),VLOOKUP(M3U[[#This Row],[ID]],CHANNEL_EXT[#All],3,0)),"-")</f>
        <v>Lifestyle</v>
      </c>
      <c r="I104" s="8" t="str">
        <f>IF(ISERROR(VLOOKUP(M3U[[#This Row],[ID]]&amp;"-"&amp;M3U[[#This Row],[Q]],STREAM[[#All],[SID]],1,0)),"✗","✓")</f>
        <v>✗</v>
      </c>
      <c r="J104" t="str">
        <f>IFERROR(VLOOKUP(M3U[[#This Row],[ID]]&amp;"-"&amp;M3U[[#This Row],[Q]],STREAM[],5,0),"-")</f>
        <v>-</v>
      </c>
      <c r="K104" t="str">
        <f>IFERROR(VLOOKUP(M3U[[#This Row],[ID]]&amp;"-"&amp;M3U[[#This Row],[Q]],STREAM[],6,0),"-")</f>
        <v>-</v>
      </c>
      <c r="L104" t="b">
        <v>1</v>
      </c>
    </row>
    <row r="105" spans="1:12" hidden="1" x14ac:dyDescent="0.55000000000000004">
      <c r="A105" t="s">
        <v>828</v>
      </c>
      <c r="B105" s="2" t="s">
        <v>574</v>
      </c>
      <c r="C105" s="8" t="str">
        <f>IF(ISERROR(VLOOKUP(M3U[[#This Row],[TVGID]],GUIDE[[#All],[TVGID]],1,0)),"✗","✓")</f>
        <v>✓</v>
      </c>
      <c r="D105">
        <v>453</v>
      </c>
      <c r="E105" t="s">
        <v>321</v>
      </c>
      <c r="F10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Prambors</v>
      </c>
      <c r="G105" s="5" t="str">
        <f>IFERROR(IFERROR(VLOOKUP(M3U[[#This Row],[ID]],CHANNEL[#All],4,0),VLOOKUP(M3U[[#This Row],[ID]],CHANNEL_EXT[#All],4,0)),"-")</f>
        <v>https://images.maxstream.tv/sites/default/files/entry/0_e59etfmm/landscape_carousel_hdpi.webp</v>
      </c>
      <c r="H105" s="4" t="str">
        <f>IFERROR(IFERROR(VLOOKUP(M3U[[#This Row],[ID]],CHANNEL[#All],3,0),VLOOKUP(M3U[[#This Row],[ID]],CHANNEL_EXT[#All],3,0)),"-")</f>
        <v>Lifestyle</v>
      </c>
      <c r="I105" s="8" t="str">
        <f>IF(ISERROR(VLOOKUP(M3U[[#This Row],[ID]]&amp;"-"&amp;M3U[[#This Row],[Q]],STREAM[[#All],[SID]],1,0)),"✗","✓")</f>
        <v>✗</v>
      </c>
      <c r="J105" t="str">
        <f>IFERROR(VLOOKUP(M3U[[#This Row],[ID]]&amp;"-"&amp;M3U[[#This Row],[Q]],STREAM[],5,0),"-")</f>
        <v>-</v>
      </c>
      <c r="K105" t="str">
        <f>IFERROR(VLOOKUP(M3U[[#This Row],[ID]]&amp;"-"&amp;M3U[[#This Row],[Q]],STREAM[],6,0),"-")</f>
        <v>-</v>
      </c>
      <c r="L105" t="b">
        <v>0</v>
      </c>
    </row>
    <row r="106" spans="1:12" x14ac:dyDescent="0.55000000000000004">
      <c r="A106" t="s">
        <v>828</v>
      </c>
      <c r="B106" s="2" t="s">
        <v>574</v>
      </c>
      <c r="C106" s="8" t="str">
        <f>IF(ISERROR(VLOOKUP(M3U[[#This Row],[TVGID]],GUIDE[[#All],[TVGID]],1,0)),"✗","✓")</f>
        <v>✓</v>
      </c>
      <c r="D106">
        <v>453</v>
      </c>
      <c r="E106" t="s">
        <v>271</v>
      </c>
      <c r="F10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Prambors HD</v>
      </c>
      <c r="G106" s="5" t="str">
        <f>IFERROR(IFERROR(VLOOKUP(M3U[[#This Row],[ID]],CHANNEL[#All],4,0),VLOOKUP(M3U[[#This Row],[ID]],CHANNEL_EXT[#All],4,0)),"-")</f>
        <v>https://images.maxstream.tv/sites/default/files/entry/0_e59etfmm/landscape_carousel_hdpi.webp</v>
      </c>
      <c r="H106" s="4" t="str">
        <f>IFERROR(IFERROR(VLOOKUP(M3U[[#This Row],[ID]],CHANNEL[#All],3,0),VLOOKUP(M3U[[#This Row],[ID]],CHANNEL_EXT[#All],3,0)),"-")</f>
        <v>Lifestyle</v>
      </c>
      <c r="I106" s="8" t="str">
        <f>IF(ISERROR(VLOOKUP(M3U[[#This Row],[ID]]&amp;"-"&amp;M3U[[#This Row],[Q]],STREAM[[#All],[SID]],1,0)),"✗","✓")</f>
        <v>✗</v>
      </c>
      <c r="J106" t="str">
        <f>IFERROR(VLOOKUP(M3U[[#This Row],[ID]]&amp;"-"&amp;M3U[[#This Row],[Q]],STREAM[],5,0),"-")</f>
        <v>-</v>
      </c>
      <c r="K106" t="str">
        <f>IFERROR(VLOOKUP(M3U[[#This Row],[ID]]&amp;"-"&amp;M3U[[#This Row],[Q]],STREAM[],6,0),"-")</f>
        <v>-</v>
      </c>
      <c r="L106" t="b">
        <v>1</v>
      </c>
    </row>
    <row r="107" spans="1:12" hidden="1" x14ac:dyDescent="0.55000000000000004">
      <c r="A107" t="s">
        <v>172</v>
      </c>
      <c r="B107" s="2" t="s">
        <v>575</v>
      </c>
      <c r="C107" s="8" t="str">
        <f>IF(ISERROR(VLOOKUP(M3U[[#This Row],[TVGID]],GUIDE[[#All],[TVGID]],1,0)),"✗","✓")</f>
        <v>✓</v>
      </c>
      <c r="D107">
        <v>500</v>
      </c>
      <c r="E107" t="s">
        <v>321</v>
      </c>
      <c r="F10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HGTV</v>
      </c>
      <c r="G107" s="5" t="str">
        <f>IFERROR(IFERROR(VLOOKUP(M3U[[#This Row],[ID]],CHANNEL[#All],4,0),VLOOKUP(M3U[[#This Row],[ID]],CHANNEL_EXT[#All],4,0)),"-")</f>
        <v>https://images.maxstream.tv/sites/default/files/entry/0_uvp3wz05/landscape_carousel_hdpi.webp</v>
      </c>
      <c r="H107" s="4" t="str">
        <f>IFERROR(IFERROR(VLOOKUP(M3U[[#This Row],[ID]],CHANNEL[#All],3,0),VLOOKUP(M3U[[#This Row],[ID]],CHANNEL_EXT[#All],3,0)),"-")</f>
        <v>Gen Ent &amp; Series</v>
      </c>
      <c r="I107" s="8" t="str">
        <f>IF(ISERROR(VLOOKUP(M3U[[#This Row],[ID]]&amp;"-"&amp;M3U[[#This Row],[Q]],STREAM[[#All],[SID]],1,0)),"✗","✓")</f>
        <v>✗</v>
      </c>
      <c r="J107" t="str">
        <f>IFERROR(VLOOKUP(M3U[[#This Row],[ID]]&amp;"-"&amp;M3U[[#This Row],[Q]],STREAM[],5,0),"-")</f>
        <v>-</v>
      </c>
      <c r="K107" t="str">
        <f>IFERROR(VLOOKUP(M3U[[#This Row],[ID]]&amp;"-"&amp;M3U[[#This Row],[Q]],STREAM[],6,0),"-")</f>
        <v>-</v>
      </c>
      <c r="L107" t="b">
        <v>0</v>
      </c>
    </row>
    <row r="108" spans="1:12" x14ac:dyDescent="0.55000000000000004">
      <c r="A108" t="s">
        <v>172</v>
      </c>
      <c r="B108" s="2" t="s">
        <v>575</v>
      </c>
      <c r="C108" s="8" t="str">
        <f>IF(ISERROR(VLOOKUP(M3U[[#This Row],[TVGID]],GUIDE[[#All],[TVGID]],1,0)),"✗","✓")</f>
        <v>✓</v>
      </c>
      <c r="D108">
        <v>500</v>
      </c>
      <c r="E108" t="s">
        <v>271</v>
      </c>
      <c r="F10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HGTV HD</v>
      </c>
      <c r="G108" s="5" t="str">
        <f>IFERROR(IFERROR(VLOOKUP(M3U[[#This Row],[ID]],CHANNEL[#All],4,0),VLOOKUP(M3U[[#This Row],[ID]],CHANNEL_EXT[#All],4,0)),"-")</f>
        <v>https://images.maxstream.tv/sites/default/files/entry/0_uvp3wz05/landscape_carousel_hdpi.webp</v>
      </c>
      <c r="H108" s="4" t="str">
        <f>IFERROR(IFERROR(VLOOKUP(M3U[[#This Row],[ID]],CHANNEL[#All],3,0),VLOOKUP(M3U[[#This Row],[ID]],CHANNEL_EXT[#All],3,0)),"-")</f>
        <v>Gen Ent &amp; Series</v>
      </c>
      <c r="I108" s="8" t="str">
        <f>IF(ISERROR(VLOOKUP(M3U[[#This Row],[ID]]&amp;"-"&amp;M3U[[#This Row],[Q]],STREAM[[#All],[SID]],1,0)),"✗","✓")</f>
        <v>✗</v>
      </c>
      <c r="J108" t="str">
        <f>IFERROR(VLOOKUP(M3U[[#This Row],[ID]]&amp;"-"&amp;M3U[[#This Row],[Q]],STREAM[],5,0),"-")</f>
        <v>-</v>
      </c>
      <c r="K108" t="str">
        <f>IFERROR(VLOOKUP(M3U[[#This Row],[ID]]&amp;"-"&amp;M3U[[#This Row],[Q]],STREAM[],6,0),"-")</f>
        <v>-</v>
      </c>
      <c r="L108" t="b">
        <v>1</v>
      </c>
    </row>
    <row r="109" spans="1:12" hidden="1" x14ac:dyDescent="0.55000000000000004">
      <c r="A109" t="s">
        <v>896</v>
      </c>
      <c r="B109" s="2" t="s">
        <v>928</v>
      </c>
      <c r="C109" s="8" t="str">
        <f>IF(ISERROR(VLOOKUP(M3U[[#This Row],[TVGID]],GUIDE[[#All],[TVGID]],1,0)),"✗","✓")</f>
        <v>✓</v>
      </c>
      <c r="D109">
        <v>501</v>
      </c>
      <c r="E109" t="s">
        <v>321</v>
      </c>
      <c r="F10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Rock Action</v>
      </c>
      <c r="G109" s="5" t="str">
        <f>IFERROR(IFERROR(VLOOKUP(M3U[[#This Row],[ID]],CHANNEL[#All],4,0),VLOOKUP(M3U[[#This Row],[ID]],CHANNEL_EXT[#All],4,0)),"-")</f>
        <v>https://images.maxstream.tv/sites/default/files/entry/0_1gshn4os/landscape_carousel_hdpi.webp</v>
      </c>
      <c r="H109" s="4" t="str">
        <f>IFERROR(IFERROR(VLOOKUP(M3U[[#This Row],[ID]],CHANNEL[#All],3,0),VLOOKUP(M3U[[#This Row],[ID]],CHANNEL_EXT[#All],3,0)),"-")</f>
        <v>Gen Ent &amp; Series</v>
      </c>
      <c r="I109" s="8" t="str">
        <f>IF(ISERROR(VLOOKUP(M3U[[#This Row],[ID]]&amp;"-"&amp;M3U[[#This Row],[Q]],STREAM[[#All],[SID]],1,0)),"✗","✓")</f>
        <v>✗</v>
      </c>
      <c r="J109" t="str">
        <f>IFERROR(VLOOKUP(M3U[[#This Row],[ID]]&amp;"-"&amp;M3U[[#This Row],[Q]],STREAM[],5,0),"-")</f>
        <v>-</v>
      </c>
      <c r="K109" t="str">
        <f>IFERROR(VLOOKUP(M3U[[#This Row],[ID]]&amp;"-"&amp;M3U[[#This Row],[Q]],STREAM[],6,0),"-")</f>
        <v>-</v>
      </c>
      <c r="L109" t="b">
        <v>0</v>
      </c>
    </row>
    <row r="110" spans="1:12" x14ac:dyDescent="0.55000000000000004">
      <c r="A110" t="s">
        <v>896</v>
      </c>
      <c r="B110" s="2" t="s">
        <v>928</v>
      </c>
      <c r="C110" s="8" t="str">
        <f>IF(ISERROR(VLOOKUP(M3U[[#This Row],[TVGID]],GUIDE[[#All],[TVGID]],1,0)),"✗","✓")</f>
        <v>✓</v>
      </c>
      <c r="D110">
        <v>501</v>
      </c>
      <c r="E110" t="s">
        <v>271</v>
      </c>
      <c r="F11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Rock Action HD</v>
      </c>
      <c r="G110" s="5" t="str">
        <f>IFERROR(IFERROR(VLOOKUP(M3U[[#This Row],[ID]],CHANNEL[#All],4,0),VLOOKUP(M3U[[#This Row],[ID]],CHANNEL_EXT[#All],4,0)),"-")</f>
        <v>https://images.maxstream.tv/sites/default/files/entry/0_1gshn4os/landscape_carousel_hdpi.webp</v>
      </c>
      <c r="H110" s="4" t="str">
        <f>IFERROR(IFERROR(VLOOKUP(M3U[[#This Row],[ID]],CHANNEL[#All],3,0),VLOOKUP(M3U[[#This Row],[ID]],CHANNEL_EXT[#All],3,0)),"-")</f>
        <v>Gen Ent &amp; Series</v>
      </c>
      <c r="I110" s="8" t="str">
        <f>IF(ISERROR(VLOOKUP(M3U[[#This Row],[ID]]&amp;"-"&amp;M3U[[#This Row],[Q]],STREAM[[#All],[SID]],1,0)),"✗","✓")</f>
        <v>✗</v>
      </c>
      <c r="J110" t="str">
        <f>IFERROR(VLOOKUP(M3U[[#This Row],[ID]]&amp;"-"&amp;M3U[[#This Row],[Q]],STREAM[],5,0),"-")</f>
        <v>-</v>
      </c>
      <c r="K110" t="str">
        <f>IFERROR(VLOOKUP(M3U[[#This Row],[ID]]&amp;"-"&amp;M3U[[#This Row],[Q]],STREAM[],6,0),"-")</f>
        <v>-</v>
      </c>
      <c r="L110" t="b">
        <v>1</v>
      </c>
    </row>
    <row r="111" spans="1:12" hidden="1" x14ac:dyDescent="0.55000000000000004">
      <c r="A111" t="s">
        <v>104</v>
      </c>
      <c r="B111" s="2" t="s">
        <v>576</v>
      </c>
      <c r="C111" s="8" t="str">
        <f>IF(ISERROR(VLOOKUP(M3U[[#This Row],[TVGID]],GUIDE[[#All],[TVGID]],1,0)),"✗","✓")</f>
        <v>✓</v>
      </c>
      <c r="D111">
        <v>502</v>
      </c>
      <c r="E111" t="s">
        <v>321</v>
      </c>
      <c r="F11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Animax</v>
      </c>
      <c r="G111" s="5" t="str">
        <f>IFERROR(IFERROR(VLOOKUP(M3U[[#This Row],[ID]],CHANNEL[#All],4,0),VLOOKUP(M3U[[#This Row],[ID]],CHANNEL_EXT[#All],4,0)),"-")</f>
        <v>https://images.maxstream.tv/sites/default/files/entry/0_86sal99e/landscape_carousel_hdpi.webp</v>
      </c>
      <c r="H111" s="4" t="str">
        <f>IFERROR(IFERROR(VLOOKUP(M3U[[#This Row],[ID]],CHANNEL[#All],3,0),VLOOKUP(M3U[[#This Row],[ID]],CHANNEL_EXT[#All],3,0)),"-")</f>
        <v>Gen Ent &amp; Series</v>
      </c>
      <c r="I111" s="8" t="str">
        <f>IF(ISERROR(VLOOKUP(M3U[[#This Row],[ID]]&amp;"-"&amp;M3U[[#This Row],[Q]],STREAM[[#All],[SID]],1,0)),"✗","✓")</f>
        <v>✗</v>
      </c>
      <c r="J111" t="str">
        <f>IFERROR(VLOOKUP(M3U[[#This Row],[ID]]&amp;"-"&amp;M3U[[#This Row],[Q]],STREAM[],5,0),"-")</f>
        <v>-</v>
      </c>
      <c r="K111" t="str">
        <f>IFERROR(VLOOKUP(M3U[[#This Row],[ID]]&amp;"-"&amp;M3U[[#This Row],[Q]],STREAM[],6,0),"-")</f>
        <v>-</v>
      </c>
      <c r="L111" t="b">
        <v>0</v>
      </c>
    </row>
    <row r="112" spans="1:12" x14ac:dyDescent="0.55000000000000004">
      <c r="A112" t="s">
        <v>104</v>
      </c>
      <c r="B112" s="2" t="s">
        <v>576</v>
      </c>
      <c r="C112" s="8" t="str">
        <f>IF(ISERROR(VLOOKUP(M3U[[#This Row],[TVGID]],GUIDE[[#All],[TVGID]],1,0)),"✗","✓")</f>
        <v>✓</v>
      </c>
      <c r="D112">
        <v>502</v>
      </c>
      <c r="E112" t="s">
        <v>271</v>
      </c>
      <c r="F11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Animax HD</v>
      </c>
      <c r="G112" s="5" t="str">
        <f>IFERROR(IFERROR(VLOOKUP(M3U[[#This Row],[ID]],CHANNEL[#All],4,0),VLOOKUP(M3U[[#This Row],[ID]],CHANNEL_EXT[#All],4,0)),"-")</f>
        <v>https://images.maxstream.tv/sites/default/files/entry/0_86sal99e/landscape_carousel_hdpi.webp</v>
      </c>
      <c r="H112" s="4" t="str">
        <f>IFERROR(IFERROR(VLOOKUP(M3U[[#This Row],[ID]],CHANNEL[#All],3,0),VLOOKUP(M3U[[#This Row],[ID]],CHANNEL_EXT[#All],3,0)),"-")</f>
        <v>Gen Ent &amp; Series</v>
      </c>
      <c r="I112" s="8" t="str">
        <f>IF(ISERROR(VLOOKUP(M3U[[#This Row],[ID]]&amp;"-"&amp;M3U[[#This Row],[Q]],STREAM[[#All],[SID]],1,0)),"✗","✓")</f>
        <v>✗</v>
      </c>
      <c r="J112" t="str">
        <f>IFERROR(VLOOKUP(M3U[[#This Row],[ID]]&amp;"-"&amp;M3U[[#This Row],[Q]],STREAM[],5,0),"-")</f>
        <v>-</v>
      </c>
      <c r="K112" t="str">
        <f>IFERROR(VLOOKUP(M3U[[#This Row],[ID]]&amp;"-"&amp;M3U[[#This Row],[Q]],STREAM[],6,0),"-")</f>
        <v>-</v>
      </c>
      <c r="L112" t="b">
        <v>1</v>
      </c>
    </row>
    <row r="113" spans="1:12" x14ac:dyDescent="0.55000000000000004">
      <c r="A113" t="s">
        <v>184</v>
      </c>
      <c r="B113" s="2" t="s">
        <v>577</v>
      </c>
      <c r="C113" s="8" t="str">
        <f>IF(ISERROR(VLOOKUP(M3U[[#This Row],[TVGID]],GUIDE[[#All],[TVGID]],1,0)),"✗","✓")</f>
        <v>✓</v>
      </c>
      <c r="D113">
        <v>503</v>
      </c>
      <c r="E113" t="s">
        <v>321</v>
      </c>
      <c r="F11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Insert</v>
      </c>
      <c r="G113" s="5" t="str">
        <f>IFERROR(IFERROR(VLOOKUP(M3U[[#This Row],[ID]],CHANNEL[#All],4,0),VLOOKUP(M3U[[#This Row],[ID]],CHANNEL_EXT[#All],4,0)),"-")</f>
        <v>https://images.indihometv.com/logo_insert_big1.png</v>
      </c>
      <c r="H113" s="4" t="str">
        <f>IFERROR(IFERROR(VLOOKUP(M3U[[#This Row],[ID]],CHANNEL[#All],3,0),VLOOKUP(M3U[[#This Row],[ID]],CHANNEL_EXT[#All],3,0)),"-")</f>
        <v>Local</v>
      </c>
      <c r="I113" s="8" t="str">
        <f>IF(ISERROR(VLOOKUP(M3U[[#This Row],[ID]]&amp;"-"&amp;M3U[[#This Row],[Q]],STREAM[[#All],[SID]],1,0)),"✗","✓")</f>
        <v>✗</v>
      </c>
      <c r="J113" t="str">
        <f>IFERROR(VLOOKUP(M3U[[#This Row],[ID]]&amp;"-"&amp;M3U[[#This Row],[Q]],STREAM[],5,0),"-")</f>
        <v>-</v>
      </c>
      <c r="K113" t="str">
        <f>IFERROR(VLOOKUP(M3U[[#This Row],[ID]]&amp;"-"&amp;M3U[[#This Row],[Q]],STREAM[],6,0),"-")</f>
        <v>-</v>
      </c>
      <c r="L113" t="b">
        <v>1</v>
      </c>
    </row>
    <row r="114" spans="1:12" hidden="1" x14ac:dyDescent="0.55000000000000004">
      <c r="A114" t="s">
        <v>120</v>
      </c>
      <c r="B114" s="2" t="s">
        <v>578</v>
      </c>
      <c r="C114" s="8" t="str">
        <f>IF(ISERROR(VLOOKUP(M3U[[#This Row],[TVGID]],GUIDE[[#All],[TVGID]],1,0)),"✗","✓")</f>
        <v>✓</v>
      </c>
      <c r="D114">
        <v>505</v>
      </c>
      <c r="E114" t="s">
        <v>321</v>
      </c>
      <c r="F11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Lifetime</v>
      </c>
      <c r="G114" s="5" t="str">
        <f>IFERROR(IFERROR(VLOOKUP(M3U[[#This Row],[ID]],CHANNEL[#All],4,0),VLOOKUP(M3U[[#This Row],[ID]],CHANNEL_EXT[#All],4,0)),"-")</f>
        <v>https://images.maxstream.tv/sites/default/files/entry/0_b65cebi2/landscape_carousel_hdpi.webp</v>
      </c>
      <c r="H114" s="4" t="str">
        <f>IFERROR(IFERROR(VLOOKUP(M3U[[#This Row],[ID]],CHANNEL[#All],3,0),VLOOKUP(M3U[[#This Row],[ID]],CHANNEL_EXT[#All],3,0)),"-")</f>
        <v>Gen Ent &amp; Series</v>
      </c>
      <c r="I114" s="8" t="str">
        <f>IF(ISERROR(VLOOKUP(M3U[[#This Row],[ID]]&amp;"-"&amp;M3U[[#This Row],[Q]],STREAM[[#All],[SID]],1,0)),"✗","✓")</f>
        <v>✗</v>
      </c>
      <c r="J114" t="str">
        <f>IFERROR(VLOOKUP(M3U[[#This Row],[ID]]&amp;"-"&amp;M3U[[#This Row],[Q]],STREAM[],5,0),"-")</f>
        <v>-</v>
      </c>
      <c r="K114" t="str">
        <f>IFERROR(VLOOKUP(M3U[[#This Row],[ID]]&amp;"-"&amp;M3U[[#This Row],[Q]],STREAM[],6,0),"-")</f>
        <v>-</v>
      </c>
      <c r="L114" t="b">
        <v>0</v>
      </c>
    </row>
    <row r="115" spans="1:12" x14ac:dyDescent="0.55000000000000004">
      <c r="A115" t="s">
        <v>120</v>
      </c>
      <c r="B115" s="2" t="s">
        <v>578</v>
      </c>
      <c r="C115" s="8" t="str">
        <f>IF(ISERROR(VLOOKUP(M3U[[#This Row],[TVGID]],GUIDE[[#All],[TVGID]],1,0)),"✗","✓")</f>
        <v>✓</v>
      </c>
      <c r="D115">
        <v>505</v>
      </c>
      <c r="E115" t="s">
        <v>271</v>
      </c>
      <c r="F11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Lifetime HD</v>
      </c>
      <c r="G115" s="5" t="str">
        <f>IFERROR(IFERROR(VLOOKUP(M3U[[#This Row],[ID]],CHANNEL[#All],4,0),VLOOKUP(M3U[[#This Row],[ID]],CHANNEL_EXT[#All],4,0)),"-")</f>
        <v>https://images.maxstream.tv/sites/default/files/entry/0_b65cebi2/landscape_carousel_hdpi.webp</v>
      </c>
      <c r="H115" s="4" t="str">
        <f>IFERROR(IFERROR(VLOOKUP(M3U[[#This Row],[ID]],CHANNEL[#All],3,0),VLOOKUP(M3U[[#This Row],[ID]],CHANNEL_EXT[#All],3,0)),"-")</f>
        <v>Gen Ent &amp; Series</v>
      </c>
      <c r="I115" s="8" t="str">
        <f>IF(ISERROR(VLOOKUP(M3U[[#This Row],[ID]]&amp;"-"&amp;M3U[[#This Row],[Q]],STREAM[[#All],[SID]],1,0)),"✗","✓")</f>
        <v>✗</v>
      </c>
      <c r="J115" t="str">
        <f>IFERROR(VLOOKUP(M3U[[#This Row],[ID]]&amp;"-"&amp;M3U[[#This Row],[Q]],STREAM[],5,0),"-")</f>
        <v>-</v>
      </c>
      <c r="K115" t="str">
        <f>IFERROR(VLOOKUP(M3U[[#This Row],[ID]]&amp;"-"&amp;M3U[[#This Row],[Q]],STREAM[],6,0),"-")</f>
        <v>-</v>
      </c>
      <c r="L115" t="b">
        <v>1</v>
      </c>
    </row>
    <row r="116" spans="1:12" hidden="1" x14ac:dyDescent="0.55000000000000004">
      <c r="A116" t="s">
        <v>116</v>
      </c>
      <c r="B116" s="2" t="s">
        <v>579</v>
      </c>
      <c r="C116" s="8" t="str">
        <f>IF(ISERROR(VLOOKUP(M3U[[#This Row],[TVGID]],GUIDE[[#All],[TVGID]],1,0)),"✗","✓")</f>
        <v>✓</v>
      </c>
      <c r="D116">
        <v>506</v>
      </c>
      <c r="E116" t="s">
        <v>321</v>
      </c>
      <c r="F11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KIX</v>
      </c>
      <c r="G116" s="5" t="str">
        <f>IFERROR(IFERROR(VLOOKUP(M3U[[#This Row],[ID]],CHANNEL[#All],4,0),VLOOKUP(M3U[[#This Row],[ID]],CHANNEL_EXT[#All],4,0)),"-")</f>
        <v>https://images.maxstream.tv/sites/default/files/entry/0_jqlzd1wf/landscape_carousel_hdpi.webp</v>
      </c>
      <c r="H116" s="4" t="str">
        <f>IFERROR(IFERROR(VLOOKUP(M3U[[#This Row],[ID]],CHANNEL[#All],3,0),VLOOKUP(M3U[[#This Row],[ID]],CHANNEL_EXT[#All],3,0)),"-")</f>
        <v>Gen Ent &amp; Series</v>
      </c>
      <c r="I116" s="8" t="str">
        <f>IF(ISERROR(VLOOKUP(M3U[[#This Row],[ID]]&amp;"-"&amp;M3U[[#This Row],[Q]],STREAM[[#All],[SID]],1,0)),"✗","✓")</f>
        <v>✗</v>
      </c>
      <c r="J116" t="str">
        <f>IFERROR(VLOOKUP(M3U[[#This Row],[ID]]&amp;"-"&amp;M3U[[#This Row],[Q]],STREAM[],5,0),"-")</f>
        <v>-</v>
      </c>
      <c r="K116" t="str">
        <f>IFERROR(VLOOKUP(M3U[[#This Row],[ID]]&amp;"-"&amp;M3U[[#This Row],[Q]],STREAM[],6,0),"-")</f>
        <v>-</v>
      </c>
      <c r="L116" t="b">
        <v>0</v>
      </c>
    </row>
    <row r="117" spans="1:12" x14ac:dyDescent="0.55000000000000004">
      <c r="A117" t="s">
        <v>116</v>
      </c>
      <c r="B117" s="2" t="s">
        <v>579</v>
      </c>
      <c r="C117" s="8" t="str">
        <f>IF(ISERROR(VLOOKUP(M3U[[#This Row],[TVGID]],GUIDE[[#All],[TVGID]],1,0)),"✗","✓")</f>
        <v>✓</v>
      </c>
      <c r="D117">
        <v>506</v>
      </c>
      <c r="E117" t="s">
        <v>271</v>
      </c>
      <c r="F11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KIX HD</v>
      </c>
      <c r="G117" s="5" t="str">
        <f>IFERROR(IFERROR(VLOOKUP(M3U[[#This Row],[ID]],CHANNEL[#All],4,0),VLOOKUP(M3U[[#This Row],[ID]],CHANNEL_EXT[#All],4,0)),"-")</f>
        <v>https://images.maxstream.tv/sites/default/files/entry/0_jqlzd1wf/landscape_carousel_hdpi.webp</v>
      </c>
      <c r="H117" s="4" t="str">
        <f>IFERROR(IFERROR(VLOOKUP(M3U[[#This Row],[ID]],CHANNEL[#All],3,0),VLOOKUP(M3U[[#This Row],[ID]],CHANNEL_EXT[#All],3,0)),"-")</f>
        <v>Gen Ent &amp; Series</v>
      </c>
      <c r="I117" s="8" t="str">
        <f>IF(ISERROR(VLOOKUP(M3U[[#This Row],[ID]]&amp;"-"&amp;M3U[[#This Row],[Q]],STREAM[[#All],[SID]],1,0)),"✗","✓")</f>
        <v>✗</v>
      </c>
      <c r="J117" t="str">
        <f>IFERROR(VLOOKUP(M3U[[#This Row],[ID]]&amp;"-"&amp;M3U[[#This Row],[Q]],STREAM[],5,0),"-")</f>
        <v>-</v>
      </c>
      <c r="K117" t="str">
        <f>IFERROR(VLOOKUP(M3U[[#This Row],[ID]]&amp;"-"&amp;M3U[[#This Row],[Q]],STREAM[],6,0),"-")</f>
        <v>-</v>
      </c>
      <c r="L117" t="b">
        <v>1</v>
      </c>
    </row>
    <row r="118" spans="1:12" hidden="1" x14ac:dyDescent="0.55000000000000004">
      <c r="A118" t="s">
        <v>111</v>
      </c>
      <c r="B118" s="2" t="s">
        <v>580</v>
      </c>
      <c r="C118" s="8" t="str">
        <f>IF(ISERROR(VLOOKUP(M3U[[#This Row],[TVGID]],GUIDE[[#All],[TVGID]],1,0)),"✗","✓")</f>
        <v>✓</v>
      </c>
      <c r="D118">
        <v>507</v>
      </c>
      <c r="E118" t="s">
        <v>321</v>
      </c>
      <c r="F11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HITS</v>
      </c>
      <c r="G118" s="5" t="str">
        <f>IFERROR(IFERROR(VLOOKUP(M3U[[#This Row],[ID]],CHANNEL[#All],4,0),VLOOKUP(M3U[[#This Row],[ID]],CHANNEL_EXT[#All],4,0)),"-")</f>
        <v>https://images.maxstream.tv/sites/default/files/entry/0_hd1c30bo/landscape_carousel_hdpi.webp</v>
      </c>
      <c r="H118" s="4" t="str">
        <f>IFERROR(IFERROR(VLOOKUP(M3U[[#This Row],[ID]],CHANNEL[#All],3,0),VLOOKUP(M3U[[#This Row],[ID]],CHANNEL_EXT[#All],3,0)),"-")</f>
        <v>Gen Ent &amp; Series</v>
      </c>
      <c r="I118" s="8" t="str">
        <f>IF(ISERROR(VLOOKUP(M3U[[#This Row],[ID]]&amp;"-"&amp;M3U[[#This Row],[Q]],STREAM[[#All],[SID]],1,0)),"✗","✓")</f>
        <v>✗</v>
      </c>
      <c r="J118" t="str">
        <f>IFERROR(VLOOKUP(M3U[[#This Row],[ID]]&amp;"-"&amp;M3U[[#This Row],[Q]],STREAM[],5,0),"-")</f>
        <v>-</v>
      </c>
      <c r="K118" t="str">
        <f>IFERROR(VLOOKUP(M3U[[#This Row],[ID]]&amp;"-"&amp;M3U[[#This Row],[Q]],STREAM[],6,0),"-")</f>
        <v>-</v>
      </c>
      <c r="L118" t="b">
        <v>0</v>
      </c>
    </row>
    <row r="119" spans="1:12" x14ac:dyDescent="0.55000000000000004">
      <c r="A119" t="s">
        <v>111</v>
      </c>
      <c r="B119" s="2" t="s">
        <v>580</v>
      </c>
      <c r="C119" s="8" t="str">
        <f>IF(ISERROR(VLOOKUP(M3U[[#This Row],[TVGID]],GUIDE[[#All],[TVGID]],1,0)),"✗","✓")</f>
        <v>✓</v>
      </c>
      <c r="D119">
        <v>507</v>
      </c>
      <c r="E119" t="s">
        <v>271</v>
      </c>
      <c r="F11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HITS HD</v>
      </c>
      <c r="G119" s="5" t="str">
        <f>IFERROR(IFERROR(VLOOKUP(M3U[[#This Row],[ID]],CHANNEL[#All],4,0),VLOOKUP(M3U[[#This Row],[ID]],CHANNEL_EXT[#All],4,0)),"-")</f>
        <v>https://images.maxstream.tv/sites/default/files/entry/0_hd1c30bo/landscape_carousel_hdpi.webp</v>
      </c>
      <c r="H119" s="4" t="str">
        <f>IFERROR(IFERROR(VLOOKUP(M3U[[#This Row],[ID]],CHANNEL[#All],3,0),VLOOKUP(M3U[[#This Row],[ID]],CHANNEL_EXT[#All],3,0)),"-")</f>
        <v>Gen Ent &amp; Series</v>
      </c>
      <c r="I119" s="8" t="str">
        <f>IF(ISERROR(VLOOKUP(M3U[[#This Row],[ID]]&amp;"-"&amp;M3U[[#This Row],[Q]],STREAM[[#All],[SID]],1,0)),"✗","✓")</f>
        <v>✗</v>
      </c>
      <c r="J119" t="str">
        <f>IFERROR(VLOOKUP(M3U[[#This Row],[ID]]&amp;"-"&amp;M3U[[#This Row],[Q]],STREAM[],5,0),"-")</f>
        <v>-</v>
      </c>
      <c r="K119" t="str">
        <f>IFERROR(VLOOKUP(M3U[[#This Row],[ID]]&amp;"-"&amp;M3U[[#This Row],[Q]],STREAM[],6,0),"-")</f>
        <v>-</v>
      </c>
      <c r="L119" t="b">
        <v>1</v>
      </c>
    </row>
    <row r="120" spans="1:12" hidden="1" x14ac:dyDescent="0.55000000000000004">
      <c r="A120" t="s">
        <v>2285</v>
      </c>
      <c r="B120" s="2" t="s">
        <v>581</v>
      </c>
      <c r="C120" s="8" t="str">
        <f>IF(ISERROR(VLOOKUP(M3U[[#This Row],[TVGID]],GUIDE[[#All],[TVGID]],1,0)),"✗","✓")</f>
        <v>✓</v>
      </c>
      <c r="D120">
        <v>508</v>
      </c>
      <c r="E120" t="s">
        <v>321</v>
      </c>
      <c r="F12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Warner TV</v>
      </c>
      <c r="G120" s="5" t="str">
        <f>IFERROR(IFERROR(VLOOKUP(M3U[[#This Row],[ID]],CHANNEL[#All],4,0),VLOOKUP(M3U[[#This Row],[ID]],CHANNEL_EXT[#All],4,0)),"-")</f>
        <v>https://images.maxstream.tv/sites/default/files/entry/0_meap4fi2/landscape_carousel_hdpi.webp</v>
      </c>
      <c r="H120" s="4" t="str">
        <f>IFERROR(IFERROR(VLOOKUP(M3U[[#This Row],[ID]],CHANNEL[#All],3,0),VLOOKUP(M3U[[#This Row],[ID]],CHANNEL_EXT[#All],3,0)),"-")</f>
        <v>Gen Ent &amp; Series</v>
      </c>
      <c r="I120" s="8" t="str">
        <f>IF(ISERROR(VLOOKUP(M3U[[#This Row],[ID]]&amp;"-"&amp;M3U[[#This Row],[Q]],STREAM[[#All],[SID]],1,0)),"✗","✓")</f>
        <v>✗</v>
      </c>
      <c r="J120" t="str">
        <f>IFERROR(VLOOKUP(M3U[[#This Row],[ID]]&amp;"-"&amp;M3U[[#This Row],[Q]],STREAM[],5,0),"-")</f>
        <v>-</v>
      </c>
      <c r="K120" t="str">
        <f>IFERROR(VLOOKUP(M3U[[#This Row],[ID]]&amp;"-"&amp;M3U[[#This Row],[Q]],STREAM[],6,0),"-")</f>
        <v>-</v>
      </c>
      <c r="L120" t="b">
        <v>0</v>
      </c>
    </row>
    <row r="121" spans="1:12" x14ac:dyDescent="0.55000000000000004">
      <c r="A121" t="s">
        <v>2285</v>
      </c>
      <c r="B121" s="2" t="s">
        <v>581</v>
      </c>
      <c r="C121" s="8" t="str">
        <f>IF(ISERROR(VLOOKUP(M3U[[#This Row],[TVGID]],GUIDE[[#All],[TVGID]],1,0)),"✗","✓")</f>
        <v>✓</v>
      </c>
      <c r="D121">
        <v>508</v>
      </c>
      <c r="E121" t="s">
        <v>271</v>
      </c>
      <c r="F12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Warner TV HD</v>
      </c>
      <c r="G121" s="5" t="str">
        <f>IFERROR(IFERROR(VLOOKUP(M3U[[#This Row],[ID]],CHANNEL[#All],4,0),VLOOKUP(M3U[[#This Row],[ID]],CHANNEL_EXT[#All],4,0)),"-")</f>
        <v>https://images.maxstream.tv/sites/default/files/entry/0_meap4fi2/landscape_carousel_hdpi.webp</v>
      </c>
      <c r="H121" s="4" t="str">
        <f>IFERROR(IFERROR(VLOOKUP(M3U[[#This Row],[ID]],CHANNEL[#All],3,0),VLOOKUP(M3U[[#This Row],[ID]],CHANNEL_EXT[#All],3,0)),"-")</f>
        <v>Gen Ent &amp; Series</v>
      </c>
      <c r="I121" s="8" t="str">
        <f>IF(ISERROR(VLOOKUP(M3U[[#This Row],[ID]]&amp;"-"&amp;M3U[[#This Row],[Q]],STREAM[[#All],[SID]],1,0)),"✗","✓")</f>
        <v>✗</v>
      </c>
      <c r="J121" t="str">
        <f>IFERROR(VLOOKUP(M3U[[#This Row],[ID]]&amp;"-"&amp;M3U[[#This Row],[Q]],STREAM[],5,0),"-")</f>
        <v>-</v>
      </c>
      <c r="K121" t="str">
        <f>IFERROR(VLOOKUP(M3U[[#This Row],[ID]]&amp;"-"&amp;M3U[[#This Row],[Q]],STREAM[],6,0),"-")</f>
        <v>-</v>
      </c>
      <c r="L121" t="b">
        <v>1</v>
      </c>
    </row>
    <row r="122" spans="1:12" hidden="1" x14ac:dyDescent="0.55000000000000004">
      <c r="A122" t="s">
        <v>107</v>
      </c>
      <c r="B122" s="2" t="s">
        <v>372</v>
      </c>
      <c r="C122" s="8" t="str">
        <f>IF(ISERROR(VLOOKUP(M3U[[#This Row],[TVGID]],GUIDE[[#All],[TVGID]],1,0)),"✗","✓")</f>
        <v>✓</v>
      </c>
      <c r="D122">
        <v>509</v>
      </c>
      <c r="E122" t="s">
        <v>321</v>
      </c>
      <c r="F12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AXN</v>
      </c>
      <c r="G122" s="5" t="str">
        <f>IFERROR(IFERROR(VLOOKUP(M3U[[#This Row],[ID]],CHANNEL[#All],4,0),VLOOKUP(M3U[[#This Row],[ID]],CHANNEL_EXT[#All],4,0)),"-")</f>
        <v>https://images.maxstream.tv/sites/default/files/entry/0_kk9nyx3y/landscape_carousel_hdpi.webp</v>
      </c>
      <c r="H122" s="4" t="str">
        <f>IFERROR(IFERROR(VLOOKUP(M3U[[#This Row],[ID]],CHANNEL[#All],3,0),VLOOKUP(M3U[[#This Row],[ID]],CHANNEL_EXT[#All],3,0)),"-")</f>
        <v>Gen Ent &amp; Series</v>
      </c>
      <c r="I122" s="8" t="str">
        <f>IF(ISERROR(VLOOKUP(M3U[[#This Row],[ID]]&amp;"-"&amp;M3U[[#This Row],[Q]],STREAM[[#All],[SID]],1,0)),"✗","✓")</f>
        <v>✗</v>
      </c>
      <c r="J122" t="str">
        <f>IFERROR(VLOOKUP(M3U[[#This Row],[ID]]&amp;"-"&amp;M3U[[#This Row],[Q]],STREAM[],5,0),"-")</f>
        <v>-</v>
      </c>
      <c r="K122" t="str">
        <f>IFERROR(VLOOKUP(M3U[[#This Row],[ID]]&amp;"-"&amp;M3U[[#This Row],[Q]],STREAM[],6,0),"-")</f>
        <v>-</v>
      </c>
      <c r="L122" t="b">
        <v>0</v>
      </c>
    </row>
    <row r="123" spans="1:12" x14ac:dyDescent="0.55000000000000004">
      <c r="A123" t="s">
        <v>107</v>
      </c>
      <c r="B123" s="2" t="s">
        <v>372</v>
      </c>
      <c r="C123" s="8" t="str">
        <f>IF(ISERROR(VLOOKUP(M3U[[#This Row],[TVGID]],GUIDE[[#All],[TVGID]],1,0)),"✗","✓")</f>
        <v>✓</v>
      </c>
      <c r="D123">
        <v>509</v>
      </c>
      <c r="E123" t="s">
        <v>271</v>
      </c>
      <c r="F12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AXN HD</v>
      </c>
      <c r="G123" s="5" t="str">
        <f>IFERROR(IFERROR(VLOOKUP(M3U[[#This Row],[ID]],CHANNEL[#All],4,0),VLOOKUP(M3U[[#This Row],[ID]],CHANNEL_EXT[#All],4,0)),"-")</f>
        <v>https://images.maxstream.tv/sites/default/files/entry/0_kk9nyx3y/landscape_carousel_hdpi.webp</v>
      </c>
      <c r="H123" s="4" t="str">
        <f>IFERROR(IFERROR(VLOOKUP(M3U[[#This Row],[ID]],CHANNEL[#All],3,0),VLOOKUP(M3U[[#This Row],[ID]],CHANNEL_EXT[#All],3,0)),"-")</f>
        <v>Gen Ent &amp; Series</v>
      </c>
      <c r="I123" s="8" t="str">
        <f>IF(ISERROR(VLOOKUP(M3U[[#This Row],[ID]]&amp;"-"&amp;M3U[[#This Row],[Q]],STREAM[[#All],[SID]],1,0)),"✗","✓")</f>
        <v>✗</v>
      </c>
      <c r="J123" t="str">
        <f>IFERROR(VLOOKUP(M3U[[#This Row],[ID]]&amp;"-"&amp;M3U[[#This Row],[Q]],STREAM[],5,0),"-")</f>
        <v>-</v>
      </c>
      <c r="K123" t="str">
        <f>IFERROR(VLOOKUP(M3U[[#This Row],[ID]]&amp;"-"&amp;M3U[[#This Row],[Q]],STREAM[],6,0),"-")</f>
        <v>-</v>
      </c>
      <c r="L123" t="b">
        <v>1</v>
      </c>
    </row>
    <row r="124" spans="1:12" x14ac:dyDescent="0.55000000000000004">
      <c r="A124" t="s">
        <v>132</v>
      </c>
      <c r="B124" s="2" t="s">
        <v>582</v>
      </c>
      <c r="C124" s="8" t="str">
        <f>IF(ISERROR(VLOOKUP(M3U[[#This Row],[TVGID]],GUIDE[[#All],[TVGID]],1,0)),"✗","✓")</f>
        <v>✓</v>
      </c>
      <c r="D124">
        <v>510</v>
      </c>
      <c r="E124" t="s">
        <v>321</v>
      </c>
      <c r="F12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TV5 MONDE</v>
      </c>
      <c r="G124" s="5" t="str">
        <f>IFERROR(IFERROR(VLOOKUP(M3U[[#This Row],[ID]],CHANNEL[#All],4,0),VLOOKUP(M3U[[#This Row],[ID]],CHANNEL_EXT[#All],4,0)),"-")</f>
        <v>https://images.maxstream.tv/sites/default/files/entry/0_6y33rxed/landscape_carousel_hdpi.webp</v>
      </c>
      <c r="H124" s="4" t="str">
        <f>IFERROR(IFERROR(VLOOKUP(M3U[[#This Row],[ID]],CHANNEL[#All],3,0),VLOOKUP(M3U[[#This Row],[ID]],CHANNEL_EXT[#All],3,0)),"-")</f>
        <v>Gen Ent &amp; Series</v>
      </c>
      <c r="I124" s="8" t="str">
        <f>IF(ISERROR(VLOOKUP(M3U[[#This Row],[ID]]&amp;"-"&amp;M3U[[#This Row],[Q]],STREAM[[#All],[SID]],1,0)),"✗","✓")</f>
        <v>✗</v>
      </c>
      <c r="J124" t="str">
        <f>IFERROR(VLOOKUP(M3U[[#This Row],[ID]]&amp;"-"&amp;M3U[[#This Row],[Q]],STREAM[],5,0),"-")</f>
        <v>-</v>
      </c>
      <c r="K124" t="str">
        <f>IFERROR(VLOOKUP(M3U[[#This Row],[ID]]&amp;"-"&amp;M3U[[#This Row],[Q]],STREAM[],6,0),"-")</f>
        <v>-</v>
      </c>
      <c r="L124" t="b">
        <v>1</v>
      </c>
    </row>
    <row r="125" spans="1:12" hidden="1" x14ac:dyDescent="0.55000000000000004">
      <c r="A125" t="s">
        <v>897</v>
      </c>
      <c r="B125" s="2" t="s">
        <v>583</v>
      </c>
      <c r="C125" s="8" t="str">
        <f>IF(ISERROR(VLOOKUP(M3U[[#This Row],[TVGID]],GUIDE[[#All],[TVGID]],1,0)),"✗","✓")</f>
        <v>✓</v>
      </c>
      <c r="D125">
        <v>511</v>
      </c>
      <c r="E125" t="s">
        <v>321</v>
      </c>
      <c r="F12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Rock Entertainment</v>
      </c>
      <c r="G125" s="5" t="str">
        <f>IFERROR(IFERROR(VLOOKUP(M3U[[#This Row],[ID]],CHANNEL[#All],4,0),VLOOKUP(M3U[[#This Row],[ID]],CHANNEL_EXT[#All],4,0)),"-")</f>
        <v>https://images.maxstream.tv/sites/default/files/entry/0_a98kaoda/landscape_carousel_hdpi.webp</v>
      </c>
      <c r="H125" s="4" t="str">
        <f>IFERROR(IFERROR(VLOOKUP(M3U[[#This Row],[ID]],CHANNEL[#All],3,0),VLOOKUP(M3U[[#This Row],[ID]],CHANNEL_EXT[#All],3,0)),"-")</f>
        <v>Gen Ent &amp; Series</v>
      </c>
      <c r="I125" s="8" t="str">
        <f>IF(ISERROR(VLOOKUP(M3U[[#This Row],[ID]]&amp;"-"&amp;M3U[[#This Row],[Q]],STREAM[[#All],[SID]],1,0)),"✗","✓")</f>
        <v>✗</v>
      </c>
      <c r="J125" t="str">
        <f>IFERROR(VLOOKUP(M3U[[#This Row],[ID]]&amp;"-"&amp;M3U[[#This Row],[Q]],STREAM[],5,0),"-")</f>
        <v>-</v>
      </c>
      <c r="K125" t="str">
        <f>IFERROR(VLOOKUP(M3U[[#This Row],[ID]]&amp;"-"&amp;M3U[[#This Row],[Q]],STREAM[],6,0),"-")</f>
        <v>-</v>
      </c>
      <c r="L125" t="b">
        <v>0</v>
      </c>
    </row>
    <row r="126" spans="1:12" x14ac:dyDescent="0.55000000000000004">
      <c r="A126" t="s">
        <v>897</v>
      </c>
      <c r="B126" s="2" t="s">
        <v>583</v>
      </c>
      <c r="C126" s="8" t="str">
        <f>IF(ISERROR(VLOOKUP(M3U[[#This Row],[TVGID]],GUIDE[[#All],[TVGID]],1,0)),"✗","✓")</f>
        <v>✓</v>
      </c>
      <c r="D126">
        <v>511</v>
      </c>
      <c r="E126" t="s">
        <v>271</v>
      </c>
      <c r="F12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Rock Entertainment HD</v>
      </c>
      <c r="G126" s="5" t="str">
        <f>IFERROR(IFERROR(VLOOKUP(M3U[[#This Row],[ID]],CHANNEL[#All],4,0),VLOOKUP(M3U[[#This Row],[ID]],CHANNEL_EXT[#All],4,0)),"-")</f>
        <v>https://images.maxstream.tv/sites/default/files/entry/0_a98kaoda/landscape_carousel_hdpi.webp</v>
      </c>
      <c r="H126" s="4" t="str">
        <f>IFERROR(IFERROR(VLOOKUP(M3U[[#This Row],[ID]],CHANNEL[#All],3,0),VLOOKUP(M3U[[#This Row],[ID]],CHANNEL_EXT[#All],3,0)),"-")</f>
        <v>Gen Ent &amp; Series</v>
      </c>
      <c r="I126" s="8" t="str">
        <f>IF(ISERROR(VLOOKUP(M3U[[#This Row],[ID]]&amp;"-"&amp;M3U[[#This Row],[Q]],STREAM[[#All],[SID]],1,0)),"✗","✓")</f>
        <v>✗</v>
      </c>
      <c r="J126" t="str">
        <f>IFERROR(VLOOKUP(M3U[[#This Row],[ID]]&amp;"-"&amp;M3U[[#This Row],[Q]],STREAM[],5,0),"-")</f>
        <v>-</v>
      </c>
      <c r="K126" t="str">
        <f>IFERROR(VLOOKUP(M3U[[#This Row],[ID]]&amp;"-"&amp;M3U[[#This Row],[Q]],STREAM[],6,0),"-")</f>
        <v>-</v>
      </c>
      <c r="L126" t="b">
        <v>1</v>
      </c>
    </row>
    <row r="127" spans="1:12" x14ac:dyDescent="0.55000000000000004">
      <c r="A127" t="s">
        <v>113</v>
      </c>
      <c r="B127" s="2" t="s">
        <v>642</v>
      </c>
      <c r="C127" s="8" t="str">
        <f>IF(ISERROR(VLOOKUP(M3U[[#This Row],[TVGID]],GUIDE[[#All],[TVGID]],1,0)),"✗","✓")</f>
        <v>✓</v>
      </c>
      <c r="D127">
        <v>512</v>
      </c>
      <c r="E127" t="s">
        <v>271</v>
      </c>
      <c r="F12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HITS Now HD</v>
      </c>
      <c r="G127" s="5" t="str">
        <f>IFERROR(IFERROR(VLOOKUP(M3U[[#This Row],[ID]],CHANNEL[#All],4,0),VLOOKUP(M3U[[#This Row],[ID]],CHANNEL_EXT[#All],4,0)),"-")</f>
        <v>https://images.maxstream.tv/sites/default/files/entry/0_zg4mwqv7/landscape_carousel_hdpi.webp</v>
      </c>
      <c r="H127" s="4" t="str">
        <f>IFERROR(IFERROR(VLOOKUP(M3U[[#This Row],[ID]],CHANNEL[#All],3,0),VLOOKUP(M3U[[#This Row],[ID]],CHANNEL_EXT[#All],3,0)),"-")</f>
        <v>Gen Ent &amp; Series</v>
      </c>
      <c r="I127" s="8" t="str">
        <f>IF(ISERROR(VLOOKUP(M3U[[#This Row],[ID]]&amp;"-"&amp;M3U[[#This Row],[Q]],STREAM[[#All],[SID]],1,0)),"✗","✓")</f>
        <v>✗</v>
      </c>
      <c r="J127" t="str">
        <f>IFERROR(VLOOKUP(M3U[[#This Row],[ID]]&amp;"-"&amp;M3U[[#This Row],[Q]],STREAM[],5,0),"-")</f>
        <v>-</v>
      </c>
      <c r="K127" t="str">
        <f>IFERROR(VLOOKUP(M3U[[#This Row],[ID]]&amp;"-"&amp;M3U[[#This Row],[Q]],STREAM[],6,0),"-")</f>
        <v>-</v>
      </c>
      <c r="L127" t="b">
        <v>1</v>
      </c>
    </row>
    <row r="128" spans="1:12" hidden="1" x14ac:dyDescent="0.55000000000000004">
      <c r="A128" t="s">
        <v>134</v>
      </c>
      <c r="B128" s="2" t="s">
        <v>584</v>
      </c>
      <c r="C128" s="8" t="str">
        <f>IF(ISERROR(VLOOKUP(M3U[[#This Row],[TVGID]],GUIDE[[#All],[TVGID]],1,0)),"✗","✓")</f>
        <v>✓</v>
      </c>
      <c r="D128">
        <v>516</v>
      </c>
      <c r="E128" t="s">
        <v>321</v>
      </c>
      <c r="F12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tvN</v>
      </c>
      <c r="G128" s="5" t="str">
        <f>IFERROR(IFERROR(VLOOKUP(M3U[[#This Row],[ID]],CHANNEL[#All],4,0),VLOOKUP(M3U[[#This Row],[ID]],CHANNEL_EXT[#All],4,0)),"-")</f>
        <v>https://images.maxstream.tv/sites/default/files/entry/0_r16b30de/landscape_carousel_hdpi.webp</v>
      </c>
      <c r="H128" s="4" t="str">
        <f>IFERROR(IFERROR(VLOOKUP(M3U[[#This Row],[ID]],CHANNEL[#All],3,0),VLOOKUP(M3U[[#This Row],[ID]],CHANNEL_EXT[#All],3,0)),"-")</f>
        <v>Gen Ent &amp; Series</v>
      </c>
      <c r="I128" s="8" t="str">
        <f>IF(ISERROR(VLOOKUP(M3U[[#This Row],[ID]]&amp;"-"&amp;M3U[[#This Row],[Q]],STREAM[[#All],[SID]],1,0)),"✗","✓")</f>
        <v>✗</v>
      </c>
      <c r="J128" t="str">
        <f>IFERROR(VLOOKUP(M3U[[#This Row],[ID]]&amp;"-"&amp;M3U[[#This Row],[Q]],STREAM[],5,0),"-")</f>
        <v>-</v>
      </c>
      <c r="K128" t="str">
        <f>IFERROR(VLOOKUP(M3U[[#This Row],[ID]]&amp;"-"&amp;M3U[[#This Row],[Q]],STREAM[],6,0),"-")</f>
        <v>-</v>
      </c>
      <c r="L128" t="b">
        <v>0</v>
      </c>
    </row>
    <row r="129" spans="1:12" x14ac:dyDescent="0.55000000000000004">
      <c r="A129" t="s">
        <v>134</v>
      </c>
      <c r="B129" s="2" t="s">
        <v>584</v>
      </c>
      <c r="C129" s="8" t="str">
        <f>IF(ISERROR(VLOOKUP(M3U[[#This Row],[TVGID]],GUIDE[[#All],[TVGID]],1,0)),"✗","✓")</f>
        <v>✓</v>
      </c>
      <c r="D129">
        <v>516</v>
      </c>
      <c r="E129" t="s">
        <v>271</v>
      </c>
      <c r="F12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tvN HD</v>
      </c>
      <c r="G129" s="5" t="str">
        <f>IFERROR(IFERROR(VLOOKUP(M3U[[#This Row],[ID]],CHANNEL[#All],4,0),VLOOKUP(M3U[[#This Row],[ID]],CHANNEL_EXT[#All],4,0)),"-")</f>
        <v>https://images.maxstream.tv/sites/default/files/entry/0_r16b30de/landscape_carousel_hdpi.webp</v>
      </c>
      <c r="H129" s="4" t="str">
        <f>IFERROR(IFERROR(VLOOKUP(M3U[[#This Row],[ID]],CHANNEL[#All],3,0),VLOOKUP(M3U[[#This Row],[ID]],CHANNEL_EXT[#All],3,0)),"-")</f>
        <v>Gen Ent &amp; Series</v>
      </c>
      <c r="I129" s="8" t="str">
        <f>IF(ISERROR(VLOOKUP(M3U[[#This Row],[ID]]&amp;"-"&amp;M3U[[#This Row],[Q]],STREAM[[#All],[SID]],1,0)),"✗","✓")</f>
        <v>✗</v>
      </c>
      <c r="J129" t="str">
        <f>IFERROR(VLOOKUP(M3U[[#This Row],[ID]]&amp;"-"&amp;M3U[[#This Row],[Q]],STREAM[],5,0),"-")</f>
        <v>-</v>
      </c>
      <c r="K129" t="str">
        <f>IFERROR(VLOOKUP(M3U[[#This Row],[ID]]&amp;"-"&amp;M3U[[#This Row],[Q]],STREAM[],6,0),"-")</f>
        <v>-</v>
      </c>
      <c r="L129" t="b">
        <v>1</v>
      </c>
    </row>
    <row r="130" spans="1:12" hidden="1" x14ac:dyDescent="0.55000000000000004">
      <c r="A130" t="s">
        <v>115</v>
      </c>
      <c r="B130" s="2" t="s">
        <v>585</v>
      </c>
      <c r="C130" s="8" t="str">
        <f>IF(ISERROR(VLOOKUP(M3U[[#This Row],[TVGID]],GUIDE[[#All],[TVGID]],1,0)),"✗","✓")</f>
        <v>✓</v>
      </c>
      <c r="D130">
        <v>517</v>
      </c>
      <c r="E130" t="s">
        <v>321</v>
      </c>
      <c r="F13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KBS World</v>
      </c>
      <c r="G130" s="5" t="str">
        <f>IFERROR(IFERROR(VLOOKUP(M3U[[#This Row],[ID]],CHANNEL[#All],4,0),VLOOKUP(M3U[[#This Row],[ID]],CHANNEL_EXT[#All],4,0)),"-")</f>
        <v>https://images.maxstream.tv/sites/default/files/entry/0_4oku2lux/landscape_carousel_hdpi.webp</v>
      </c>
      <c r="H130" s="4" t="str">
        <f>IFERROR(IFERROR(VLOOKUP(M3U[[#This Row],[ID]],CHANNEL[#All],3,0),VLOOKUP(M3U[[#This Row],[ID]],CHANNEL_EXT[#All],3,0)),"-")</f>
        <v>Gen Ent &amp; Series</v>
      </c>
      <c r="I130" s="8" t="str">
        <f>IF(ISERROR(VLOOKUP(M3U[[#This Row],[ID]]&amp;"-"&amp;M3U[[#This Row],[Q]],STREAM[[#All],[SID]],1,0)),"✗","✓")</f>
        <v>✗</v>
      </c>
      <c r="J130" t="str">
        <f>IFERROR(VLOOKUP(M3U[[#This Row],[ID]]&amp;"-"&amp;M3U[[#This Row],[Q]],STREAM[],5,0),"-")</f>
        <v>-</v>
      </c>
      <c r="K130" t="str">
        <f>IFERROR(VLOOKUP(M3U[[#This Row],[ID]]&amp;"-"&amp;M3U[[#This Row],[Q]],STREAM[],6,0),"-")</f>
        <v>-</v>
      </c>
      <c r="L130" t="b">
        <v>0</v>
      </c>
    </row>
    <row r="131" spans="1:12" x14ac:dyDescent="0.55000000000000004">
      <c r="A131" t="s">
        <v>115</v>
      </c>
      <c r="B131" s="2" t="s">
        <v>585</v>
      </c>
      <c r="C131" s="8" t="str">
        <f>IF(ISERROR(VLOOKUP(M3U[[#This Row],[TVGID]],GUIDE[[#All],[TVGID]],1,0)),"✗","✓")</f>
        <v>✓</v>
      </c>
      <c r="D131">
        <v>517</v>
      </c>
      <c r="E131" t="s">
        <v>271</v>
      </c>
      <c r="F13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KBS World HD</v>
      </c>
      <c r="G131" s="5" t="str">
        <f>IFERROR(IFERROR(VLOOKUP(M3U[[#This Row],[ID]],CHANNEL[#All],4,0),VLOOKUP(M3U[[#This Row],[ID]],CHANNEL_EXT[#All],4,0)),"-")</f>
        <v>https://images.maxstream.tv/sites/default/files/entry/0_4oku2lux/landscape_carousel_hdpi.webp</v>
      </c>
      <c r="H131" s="4" t="str">
        <f>IFERROR(IFERROR(VLOOKUP(M3U[[#This Row],[ID]],CHANNEL[#All],3,0),VLOOKUP(M3U[[#This Row],[ID]],CHANNEL_EXT[#All],3,0)),"-")</f>
        <v>Gen Ent &amp; Series</v>
      </c>
      <c r="I131" s="8" t="str">
        <f>IF(ISERROR(VLOOKUP(M3U[[#This Row],[ID]]&amp;"-"&amp;M3U[[#This Row],[Q]],STREAM[[#All],[SID]],1,0)),"✗","✓")</f>
        <v>✗</v>
      </c>
      <c r="J131" t="str">
        <f>IFERROR(VLOOKUP(M3U[[#This Row],[ID]]&amp;"-"&amp;M3U[[#This Row],[Q]],STREAM[],5,0),"-")</f>
        <v>-</v>
      </c>
      <c r="K131" t="str">
        <f>IFERROR(VLOOKUP(M3U[[#This Row],[ID]]&amp;"-"&amp;M3U[[#This Row],[Q]],STREAM[],6,0),"-")</f>
        <v>-</v>
      </c>
      <c r="L131" t="b">
        <v>1</v>
      </c>
    </row>
    <row r="132" spans="1:12" hidden="1" x14ac:dyDescent="0.55000000000000004">
      <c r="A132" t="s">
        <v>105</v>
      </c>
      <c r="B132" s="2" t="s">
        <v>586</v>
      </c>
      <c r="C132" s="8" t="str">
        <f>IF(ISERROR(VLOOKUP(M3U[[#This Row],[TVGID]],GUIDE[[#All],[TVGID]],1,0)),"✗","✓")</f>
        <v>✓</v>
      </c>
      <c r="D132">
        <v>518</v>
      </c>
      <c r="E132" t="s">
        <v>321</v>
      </c>
      <c r="F13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Aniplus</v>
      </c>
      <c r="G132" s="5" t="str">
        <f>IFERROR(IFERROR(VLOOKUP(M3U[[#This Row],[ID]],CHANNEL[#All],4,0),VLOOKUP(M3U[[#This Row],[ID]],CHANNEL_EXT[#All],4,0)),"-")</f>
        <v>https://images.maxstream.tv/sites/default/files/entry/0_bidjh24z/landscape_carousel_hdpi.webp</v>
      </c>
      <c r="H132" s="4" t="str">
        <f>IFERROR(IFERROR(VLOOKUP(M3U[[#This Row],[ID]],CHANNEL[#All],3,0),VLOOKUP(M3U[[#This Row],[ID]],CHANNEL_EXT[#All],3,0)),"-")</f>
        <v>Gen Ent &amp; Series</v>
      </c>
      <c r="I132" s="8" t="str">
        <f>IF(ISERROR(VLOOKUP(M3U[[#This Row],[ID]]&amp;"-"&amp;M3U[[#This Row],[Q]],STREAM[[#All],[SID]],1,0)),"✗","✓")</f>
        <v>✗</v>
      </c>
      <c r="J132" t="str">
        <f>IFERROR(VLOOKUP(M3U[[#This Row],[ID]]&amp;"-"&amp;M3U[[#This Row],[Q]],STREAM[],5,0),"-")</f>
        <v>-</v>
      </c>
      <c r="K132" t="str">
        <f>IFERROR(VLOOKUP(M3U[[#This Row],[ID]]&amp;"-"&amp;M3U[[#This Row],[Q]],STREAM[],6,0),"-")</f>
        <v>-</v>
      </c>
      <c r="L132" t="b">
        <v>0</v>
      </c>
    </row>
    <row r="133" spans="1:12" x14ac:dyDescent="0.55000000000000004">
      <c r="A133" t="s">
        <v>105</v>
      </c>
      <c r="B133" s="2" t="s">
        <v>586</v>
      </c>
      <c r="C133" s="8" t="str">
        <f>IF(ISERROR(VLOOKUP(M3U[[#This Row],[TVGID]],GUIDE[[#All],[TVGID]],1,0)),"✗","✓")</f>
        <v>✓</v>
      </c>
      <c r="D133">
        <v>518</v>
      </c>
      <c r="E133" t="s">
        <v>271</v>
      </c>
      <c r="F13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Aniplus HD</v>
      </c>
      <c r="G133" s="5" t="str">
        <f>IFERROR(IFERROR(VLOOKUP(M3U[[#This Row],[ID]],CHANNEL[#All],4,0),VLOOKUP(M3U[[#This Row],[ID]],CHANNEL_EXT[#All],4,0)),"-")</f>
        <v>https://images.maxstream.tv/sites/default/files/entry/0_bidjh24z/landscape_carousel_hdpi.webp</v>
      </c>
      <c r="H133" s="4" t="str">
        <f>IFERROR(IFERROR(VLOOKUP(M3U[[#This Row],[ID]],CHANNEL[#All],3,0),VLOOKUP(M3U[[#This Row],[ID]],CHANNEL_EXT[#All],3,0)),"-")</f>
        <v>Gen Ent &amp; Series</v>
      </c>
      <c r="I133" s="8" t="str">
        <f>IF(ISERROR(VLOOKUP(M3U[[#This Row],[ID]]&amp;"-"&amp;M3U[[#This Row],[Q]],STREAM[[#All],[SID]],1,0)),"✗","✓")</f>
        <v>✗</v>
      </c>
      <c r="J133" t="str">
        <f>IFERROR(VLOOKUP(M3U[[#This Row],[ID]]&amp;"-"&amp;M3U[[#This Row],[Q]],STREAM[],5,0),"-")</f>
        <v>-</v>
      </c>
      <c r="K133" t="str">
        <f>IFERROR(VLOOKUP(M3U[[#This Row],[ID]]&amp;"-"&amp;M3U[[#This Row],[Q]],STREAM[],6,0),"-")</f>
        <v>-</v>
      </c>
      <c r="L133" t="b">
        <v>1</v>
      </c>
    </row>
    <row r="134" spans="1:12" hidden="1" x14ac:dyDescent="0.55000000000000004">
      <c r="A134" t="s">
        <v>278</v>
      </c>
      <c r="B134" s="2" t="s">
        <v>587</v>
      </c>
      <c r="C134" s="8" t="str">
        <f>IF(ISERROR(VLOOKUP(M3U[[#This Row],[TVGID]],GUIDE[[#All],[TVGID]],1,0)),"✗","✓")</f>
        <v>✓</v>
      </c>
      <c r="D134">
        <v>519</v>
      </c>
      <c r="E134" t="s">
        <v>321</v>
      </c>
      <c r="F13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nhk world Premium</v>
      </c>
      <c r="G134" s="5" t="str">
        <f>IFERROR(IFERROR(VLOOKUP(M3U[[#This Row],[ID]],CHANNEL[#All],4,0),VLOOKUP(M3U[[#This Row],[ID]],CHANNEL_EXT[#All],4,0)),"-")</f>
        <v>https://images.indihometv.com/logo_nhkworldpremium_big.png</v>
      </c>
      <c r="H134" s="4" t="str">
        <f>IFERROR(IFERROR(VLOOKUP(M3U[[#This Row],[ID]],CHANNEL[#All],3,0),VLOOKUP(M3U[[#This Row],[ID]],CHANNEL_EXT[#All],3,0)),"-")</f>
        <v>Entertainment</v>
      </c>
      <c r="I134" s="8" t="str">
        <f>IF(ISERROR(VLOOKUP(M3U[[#This Row],[ID]]&amp;"-"&amp;M3U[[#This Row],[Q]],STREAM[[#All],[SID]],1,0)),"✗","✓")</f>
        <v>✗</v>
      </c>
      <c r="J134" t="str">
        <f>IFERROR(VLOOKUP(M3U[[#This Row],[ID]]&amp;"-"&amp;M3U[[#This Row],[Q]],STREAM[],5,0),"-")</f>
        <v>-</v>
      </c>
      <c r="K134" t="str">
        <f>IFERROR(VLOOKUP(M3U[[#This Row],[ID]]&amp;"-"&amp;M3U[[#This Row],[Q]],STREAM[],6,0),"-")</f>
        <v>-</v>
      </c>
      <c r="L134" t="b">
        <v>0</v>
      </c>
    </row>
    <row r="135" spans="1:12" x14ac:dyDescent="0.55000000000000004">
      <c r="A135" t="s">
        <v>278</v>
      </c>
      <c r="B135" s="2" t="s">
        <v>587</v>
      </c>
      <c r="C135" s="8" t="str">
        <f>IF(ISERROR(VLOOKUP(M3U[[#This Row],[TVGID]],GUIDE[[#All],[TVGID]],1,0)),"✗","✓")</f>
        <v>✓</v>
      </c>
      <c r="D135">
        <v>519</v>
      </c>
      <c r="E135" t="s">
        <v>271</v>
      </c>
      <c r="F13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nhk world Premium HD</v>
      </c>
      <c r="G135" s="5" t="str">
        <f>IFERROR(IFERROR(VLOOKUP(M3U[[#This Row],[ID]],CHANNEL[#All],4,0),VLOOKUP(M3U[[#This Row],[ID]],CHANNEL_EXT[#All],4,0)),"-")</f>
        <v>https://images.indihometv.com/logo_nhkworldpremium_big.png</v>
      </c>
      <c r="H135" s="4" t="str">
        <f>IFERROR(IFERROR(VLOOKUP(M3U[[#This Row],[ID]],CHANNEL[#All],3,0),VLOOKUP(M3U[[#This Row],[ID]],CHANNEL_EXT[#All],3,0)),"-")</f>
        <v>Entertainment</v>
      </c>
      <c r="I135" s="8" t="str">
        <f>IF(ISERROR(VLOOKUP(M3U[[#This Row],[ID]]&amp;"-"&amp;M3U[[#This Row],[Q]],STREAM[[#All],[SID]],1,0)),"✗","✓")</f>
        <v>✗</v>
      </c>
      <c r="J135" t="str">
        <f>IFERROR(VLOOKUP(M3U[[#This Row],[ID]]&amp;"-"&amp;M3U[[#This Row],[Q]],STREAM[],5,0),"-")</f>
        <v>-</v>
      </c>
      <c r="K135" t="str">
        <f>IFERROR(VLOOKUP(M3U[[#This Row],[ID]]&amp;"-"&amp;M3U[[#This Row],[Q]],STREAM[],6,0),"-")</f>
        <v>-</v>
      </c>
      <c r="L135" t="b">
        <v>1</v>
      </c>
    </row>
    <row r="136" spans="1:12" hidden="1" x14ac:dyDescent="0.55000000000000004">
      <c r="A136" t="s">
        <v>118</v>
      </c>
      <c r="B136" s="2" t="s">
        <v>588</v>
      </c>
      <c r="C136" s="8" t="str">
        <f>IF(ISERROR(VLOOKUP(M3U[[#This Row],[TVGID]],GUIDE[[#All],[TVGID]],1,0)),"✗","✓")</f>
        <v>✓</v>
      </c>
      <c r="D136">
        <v>523</v>
      </c>
      <c r="E136" t="s">
        <v>321</v>
      </c>
      <c r="F13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K Plus</v>
      </c>
      <c r="G136" s="5" t="str">
        <f>IFERROR(IFERROR(VLOOKUP(M3U[[#This Row],[ID]],CHANNEL[#All],4,0),VLOOKUP(M3U[[#This Row],[ID]],CHANNEL_EXT[#All],4,0)),"-")</f>
        <v>https://images.maxstream.tv/sites/default/files/entry/0_8ijijzlz/landscape_carousel_hdpi.webp</v>
      </c>
      <c r="H136" s="4" t="str">
        <f>IFERROR(IFERROR(VLOOKUP(M3U[[#This Row],[ID]],CHANNEL[#All],3,0),VLOOKUP(M3U[[#This Row],[ID]],CHANNEL_EXT[#All],3,0)),"-")</f>
        <v>Gen Ent &amp; Series</v>
      </c>
      <c r="I136" s="8" t="str">
        <f>IF(ISERROR(VLOOKUP(M3U[[#This Row],[ID]]&amp;"-"&amp;M3U[[#This Row],[Q]],STREAM[[#All],[SID]],1,0)),"✗","✓")</f>
        <v>✗</v>
      </c>
      <c r="J136" t="str">
        <f>IFERROR(VLOOKUP(M3U[[#This Row],[ID]]&amp;"-"&amp;M3U[[#This Row],[Q]],STREAM[],5,0),"-")</f>
        <v>-</v>
      </c>
      <c r="K136" t="str">
        <f>IFERROR(VLOOKUP(M3U[[#This Row],[ID]]&amp;"-"&amp;M3U[[#This Row],[Q]],STREAM[],6,0),"-")</f>
        <v>-</v>
      </c>
      <c r="L136" t="b">
        <v>0</v>
      </c>
    </row>
    <row r="137" spans="1:12" x14ac:dyDescent="0.55000000000000004">
      <c r="A137" t="s">
        <v>118</v>
      </c>
      <c r="B137" s="2" t="s">
        <v>588</v>
      </c>
      <c r="C137" s="8" t="str">
        <f>IF(ISERROR(VLOOKUP(M3U[[#This Row],[TVGID]],GUIDE[[#All],[TVGID]],1,0)),"✗","✓")</f>
        <v>✓</v>
      </c>
      <c r="D137">
        <v>523</v>
      </c>
      <c r="E137" t="s">
        <v>271</v>
      </c>
      <c r="F13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K Plus HD</v>
      </c>
      <c r="G137" s="5" t="str">
        <f>IFERROR(IFERROR(VLOOKUP(M3U[[#This Row],[ID]],CHANNEL[#All],4,0),VLOOKUP(M3U[[#This Row],[ID]],CHANNEL_EXT[#All],4,0)),"-")</f>
        <v>https://images.maxstream.tv/sites/default/files/entry/0_8ijijzlz/landscape_carousel_hdpi.webp</v>
      </c>
      <c r="H137" s="4" t="str">
        <f>IFERROR(IFERROR(VLOOKUP(M3U[[#This Row],[ID]],CHANNEL[#All],3,0),VLOOKUP(M3U[[#This Row],[ID]],CHANNEL_EXT[#All],3,0)),"-")</f>
        <v>Gen Ent &amp; Series</v>
      </c>
      <c r="I137" s="8" t="str">
        <f>IF(ISERROR(VLOOKUP(M3U[[#This Row],[ID]]&amp;"-"&amp;M3U[[#This Row],[Q]],STREAM[[#All],[SID]],1,0)),"✗","✓")</f>
        <v>✗</v>
      </c>
      <c r="J137" t="str">
        <f>IFERROR(VLOOKUP(M3U[[#This Row],[ID]]&amp;"-"&amp;M3U[[#This Row],[Q]],STREAM[],5,0),"-")</f>
        <v>-</v>
      </c>
      <c r="K137" t="str">
        <f>IFERROR(VLOOKUP(M3U[[#This Row],[ID]]&amp;"-"&amp;M3U[[#This Row],[Q]],STREAM[],6,0),"-")</f>
        <v>-</v>
      </c>
      <c r="L137" t="b">
        <v>1</v>
      </c>
    </row>
    <row r="138" spans="1:12" x14ac:dyDescent="0.55000000000000004">
      <c r="A138" t="s">
        <v>303</v>
      </c>
      <c r="B138" s="2" t="s">
        <v>935</v>
      </c>
      <c r="C138" s="8" t="str">
        <f>IF(ISERROR(VLOOKUP(M3U[[#This Row],[TVGID]],GUIDE[[#All],[TVGID]],1,0)),"✗","✓")</f>
        <v>✓</v>
      </c>
      <c r="D138">
        <v>524</v>
      </c>
      <c r="E138" t="s">
        <v>271</v>
      </c>
      <c r="F13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New TV Comprehensive HD</v>
      </c>
      <c r="G138" s="5" t="str">
        <f>IFERROR(IFERROR(VLOOKUP(M3U[[#This Row],[ID]],CHANNEL[#All],4,0),VLOOKUP(M3U[[#This Row],[ID]],CHANNEL_EXT[#All],4,0)),"-")</f>
        <v>https://images.maxstream.tv/sites/default/files/entry/0_wz2sim1e/landscape_carousel_hdpi.webp</v>
      </c>
      <c r="H138" s="4" t="str">
        <f>IFERROR(IFERROR(VLOOKUP(M3U[[#This Row],[ID]],CHANNEL[#All],3,0),VLOOKUP(M3U[[#This Row],[ID]],CHANNEL_EXT[#All],3,0)),"-")</f>
        <v>Gen Ent &amp; Series</v>
      </c>
      <c r="I138" s="8" t="str">
        <f>IF(ISERROR(VLOOKUP(M3U[[#This Row],[ID]]&amp;"-"&amp;M3U[[#This Row],[Q]],STREAM[[#All],[SID]],1,0)),"✗","✓")</f>
        <v>✗</v>
      </c>
      <c r="J138" t="str">
        <f>IFERROR(VLOOKUP(M3U[[#This Row],[ID]]&amp;"-"&amp;M3U[[#This Row],[Q]],STREAM[],5,0),"-")</f>
        <v>-</v>
      </c>
      <c r="K138" t="str">
        <f>IFERROR(VLOOKUP(M3U[[#This Row],[ID]]&amp;"-"&amp;M3U[[#This Row],[Q]],STREAM[],6,0),"-")</f>
        <v>-</v>
      </c>
      <c r="L138" t="b">
        <v>1</v>
      </c>
    </row>
    <row r="139" spans="1:12" x14ac:dyDescent="0.55000000000000004">
      <c r="A139" t="s">
        <v>305</v>
      </c>
      <c r="B139" s="2" t="s">
        <v>936</v>
      </c>
      <c r="C139" s="8" t="str">
        <f>IF(ISERROR(VLOOKUP(M3U[[#This Row],[TVGID]],GUIDE[[#All],[TVGID]],1,0)),"✗","✓")</f>
        <v>✓</v>
      </c>
      <c r="D139">
        <v>526</v>
      </c>
      <c r="E139" t="s">
        <v>321</v>
      </c>
      <c r="F13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New TV Finance</v>
      </c>
      <c r="G139" s="5" t="str">
        <f>IFERROR(IFERROR(VLOOKUP(M3U[[#This Row],[ID]],CHANNEL[#All],4,0),VLOOKUP(M3U[[#This Row],[ID]],CHANNEL_EXT[#All],4,0)),"-")</f>
        <v>https://images.maxstream.tv/sites/default/files/entry/0_2xlnqlst/landscape_carousel_hdpi.webp</v>
      </c>
      <c r="H139" s="4" t="str">
        <f>IFERROR(IFERROR(VLOOKUP(M3U[[#This Row],[ID]],CHANNEL[#All],3,0),VLOOKUP(M3U[[#This Row],[ID]],CHANNEL_EXT[#All],3,0)),"-")</f>
        <v>Gen Ent &amp; Series</v>
      </c>
      <c r="I139" s="8" t="str">
        <f>IF(ISERROR(VLOOKUP(M3U[[#This Row],[ID]]&amp;"-"&amp;M3U[[#This Row],[Q]],STREAM[[#All],[SID]],1,0)),"✗","✓")</f>
        <v>✗</v>
      </c>
      <c r="J139" t="str">
        <f>IFERROR(VLOOKUP(M3U[[#This Row],[ID]]&amp;"-"&amp;M3U[[#This Row],[Q]],STREAM[],5,0),"-")</f>
        <v>-</v>
      </c>
      <c r="K139" t="str">
        <f>IFERROR(VLOOKUP(M3U[[#This Row],[ID]]&amp;"-"&amp;M3U[[#This Row],[Q]],STREAM[],6,0),"-")</f>
        <v>-</v>
      </c>
      <c r="L139" t="b">
        <v>1</v>
      </c>
    </row>
    <row r="140" spans="1:12" hidden="1" x14ac:dyDescent="0.55000000000000004">
      <c r="A140" t="s">
        <v>110</v>
      </c>
      <c r="B140" s="2" t="s">
        <v>589</v>
      </c>
      <c r="C140" s="8" t="str">
        <f>IF(ISERROR(VLOOKUP(M3U[[#This Row],[TVGID]],GUIDE[[#All],[TVGID]],1,0)),"✗","✓")</f>
        <v>✓</v>
      </c>
      <c r="D140">
        <v>527</v>
      </c>
      <c r="E140" t="s">
        <v>321</v>
      </c>
      <c r="F14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Dunia Lain</v>
      </c>
      <c r="G140" s="5" t="str">
        <f>IFERROR(IFERROR(VLOOKUP(M3U[[#This Row],[ID]],CHANNEL[#All],4,0),VLOOKUP(M3U[[#This Row],[ID]],CHANNEL_EXT[#All],4,0)),"-")</f>
        <v>https://images.maxstream.tv/sites/default/files/entry/0_s5oc8paq/landscape_carousel_hdpi.webp</v>
      </c>
      <c r="H140" s="4" t="str">
        <f>IFERROR(IFERROR(VLOOKUP(M3U[[#This Row],[ID]],CHANNEL[#All],3,0),VLOOKUP(M3U[[#This Row],[ID]],CHANNEL_EXT[#All],3,0)),"-")</f>
        <v>Gen Ent &amp; Series</v>
      </c>
      <c r="I140" s="8" t="str">
        <f>IF(ISERROR(VLOOKUP(M3U[[#This Row],[ID]]&amp;"-"&amp;M3U[[#This Row],[Q]],STREAM[[#All],[SID]],1,0)),"✗","✓")</f>
        <v>✗</v>
      </c>
      <c r="J140" t="str">
        <f>IFERROR(VLOOKUP(M3U[[#This Row],[ID]]&amp;"-"&amp;M3U[[#This Row],[Q]],STREAM[],5,0),"-")</f>
        <v>-</v>
      </c>
      <c r="K140" t="str">
        <f>IFERROR(VLOOKUP(M3U[[#This Row],[ID]]&amp;"-"&amp;M3U[[#This Row],[Q]],STREAM[],6,0),"-")</f>
        <v>-</v>
      </c>
      <c r="L140" t="b">
        <v>0</v>
      </c>
    </row>
    <row r="141" spans="1:12" x14ac:dyDescent="0.55000000000000004">
      <c r="A141" t="s">
        <v>110</v>
      </c>
      <c r="B141" s="2" t="s">
        <v>589</v>
      </c>
      <c r="C141" s="8" t="str">
        <f>IF(ISERROR(VLOOKUP(M3U[[#This Row],[TVGID]],GUIDE[[#All],[TVGID]],1,0)),"✗","✓")</f>
        <v>✓</v>
      </c>
      <c r="D141">
        <v>527</v>
      </c>
      <c r="E141" t="s">
        <v>271</v>
      </c>
      <c r="F14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Dunia Lain HD</v>
      </c>
      <c r="G141" s="5" t="str">
        <f>IFERROR(IFERROR(VLOOKUP(M3U[[#This Row],[ID]],CHANNEL[#All],4,0),VLOOKUP(M3U[[#This Row],[ID]],CHANNEL_EXT[#All],4,0)),"-")</f>
        <v>https://images.maxstream.tv/sites/default/files/entry/0_s5oc8paq/landscape_carousel_hdpi.webp</v>
      </c>
      <c r="H141" s="4" t="str">
        <f>IFERROR(IFERROR(VLOOKUP(M3U[[#This Row],[ID]],CHANNEL[#All],3,0),VLOOKUP(M3U[[#This Row],[ID]],CHANNEL_EXT[#All],3,0)),"-")</f>
        <v>Gen Ent &amp; Series</v>
      </c>
      <c r="I141" s="8" t="str">
        <f>IF(ISERROR(VLOOKUP(M3U[[#This Row],[ID]]&amp;"-"&amp;M3U[[#This Row],[Q]],STREAM[[#All],[SID]],1,0)),"✗","✓")</f>
        <v>✗</v>
      </c>
      <c r="J141" t="str">
        <f>IFERROR(VLOOKUP(M3U[[#This Row],[ID]]&amp;"-"&amp;M3U[[#This Row],[Q]],STREAM[],5,0),"-")</f>
        <v>-</v>
      </c>
      <c r="K141" t="str">
        <f>IFERROR(VLOOKUP(M3U[[#This Row],[ID]]&amp;"-"&amp;M3U[[#This Row],[Q]],STREAM[],6,0),"-")</f>
        <v>-</v>
      </c>
      <c r="L141" t="b">
        <v>1</v>
      </c>
    </row>
    <row r="142" spans="1:12" hidden="1" x14ac:dyDescent="0.55000000000000004">
      <c r="A142" t="s">
        <v>103</v>
      </c>
      <c r="B142" s="2" t="s">
        <v>590</v>
      </c>
      <c r="C142" s="8" t="str">
        <f>IF(ISERROR(VLOOKUP(M3U[[#This Row],[TVGID]],GUIDE[[#All],[TVGID]],1,0)),"✗","✓")</f>
        <v>✓</v>
      </c>
      <c r="D142">
        <v>531</v>
      </c>
      <c r="E142" t="s">
        <v>321</v>
      </c>
      <c r="F14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ABC Australia</v>
      </c>
      <c r="G142" s="5" t="str">
        <f>IFERROR(IFERROR(VLOOKUP(M3U[[#This Row],[ID]],CHANNEL[#All],4,0),VLOOKUP(M3U[[#This Row],[ID]],CHANNEL_EXT[#All],4,0)),"-")</f>
        <v>https://images.maxstream.tv/sites/default/files/entry/0_armtdhuu/landscape_carousel_hdpi.webp</v>
      </c>
      <c r="H142" s="4" t="str">
        <f>IFERROR(IFERROR(VLOOKUP(M3U[[#This Row],[ID]],CHANNEL[#All],3,0),VLOOKUP(M3U[[#This Row],[ID]],CHANNEL_EXT[#All],3,0)),"-")</f>
        <v>Gen Ent &amp; Series</v>
      </c>
      <c r="I142" s="8" t="str">
        <f>IF(ISERROR(VLOOKUP(M3U[[#This Row],[ID]]&amp;"-"&amp;M3U[[#This Row],[Q]],STREAM[[#All],[SID]],1,0)),"✗","✓")</f>
        <v>✗</v>
      </c>
      <c r="J142" t="str">
        <f>IFERROR(VLOOKUP(M3U[[#This Row],[ID]]&amp;"-"&amp;M3U[[#This Row],[Q]],STREAM[],5,0),"-")</f>
        <v>-</v>
      </c>
      <c r="K142" t="str">
        <f>IFERROR(VLOOKUP(M3U[[#This Row],[ID]]&amp;"-"&amp;M3U[[#This Row],[Q]],STREAM[],6,0),"-")</f>
        <v>-</v>
      </c>
      <c r="L142" t="b">
        <v>0</v>
      </c>
    </row>
    <row r="143" spans="1:12" x14ac:dyDescent="0.55000000000000004">
      <c r="A143" t="s">
        <v>103</v>
      </c>
      <c r="B143" s="2" t="s">
        <v>590</v>
      </c>
      <c r="C143" s="8" t="str">
        <f>IF(ISERROR(VLOOKUP(M3U[[#This Row],[TVGID]],GUIDE[[#All],[TVGID]],1,0)),"✗","✓")</f>
        <v>✓</v>
      </c>
      <c r="D143">
        <v>531</v>
      </c>
      <c r="E143" t="s">
        <v>271</v>
      </c>
      <c r="F14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ABC Australia HD</v>
      </c>
      <c r="G143" s="5" t="str">
        <f>IFERROR(IFERROR(VLOOKUP(M3U[[#This Row],[ID]],CHANNEL[#All],4,0),VLOOKUP(M3U[[#This Row],[ID]],CHANNEL_EXT[#All],4,0)),"-")</f>
        <v>https://images.maxstream.tv/sites/default/files/entry/0_armtdhuu/landscape_carousel_hdpi.webp</v>
      </c>
      <c r="H143" s="4" t="str">
        <f>IFERROR(IFERROR(VLOOKUP(M3U[[#This Row],[ID]],CHANNEL[#All],3,0),VLOOKUP(M3U[[#This Row],[ID]],CHANNEL_EXT[#All],3,0)),"-")</f>
        <v>Gen Ent &amp; Series</v>
      </c>
      <c r="I143" s="8" t="str">
        <f>IF(ISERROR(VLOOKUP(M3U[[#This Row],[ID]]&amp;"-"&amp;M3U[[#This Row],[Q]],STREAM[[#All],[SID]],1,0)),"✗","✓")</f>
        <v>✗</v>
      </c>
      <c r="J143" t="str">
        <f>IFERROR(VLOOKUP(M3U[[#This Row],[ID]]&amp;"-"&amp;M3U[[#This Row],[Q]],STREAM[],5,0),"-")</f>
        <v>-</v>
      </c>
      <c r="K143" t="str">
        <f>IFERROR(VLOOKUP(M3U[[#This Row],[ID]]&amp;"-"&amp;M3U[[#This Row],[Q]],STREAM[],6,0),"-")</f>
        <v>-</v>
      </c>
      <c r="L143" t="b">
        <v>1</v>
      </c>
    </row>
    <row r="144" spans="1:12" hidden="1" x14ac:dyDescent="0.55000000000000004">
      <c r="A144" t="s">
        <v>106</v>
      </c>
      <c r="B144" s="2" t="s">
        <v>591</v>
      </c>
      <c r="C144" s="8" t="str">
        <f>IF(ISERROR(VLOOKUP(M3U[[#This Row],[TVGID]],GUIDE[[#All],[TVGID]],1,0)),"✗","✓")</f>
        <v>✓</v>
      </c>
      <c r="D144">
        <v>532</v>
      </c>
      <c r="E144" t="s">
        <v>321</v>
      </c>
      <c r="F14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Arirang</v>
      </c>
      <c r="G144" s="5" t="str">
        <f>IFERROR(IFERROR(VLOOKUP(M3U[[#This Row],[ID]],CHANNEL[#All],4,0),VLOOKUP(M3U[[#This Row],[ID]],CHANNEL_EXT[#All],4,0)),"-")</f>
        <v>https://images.maxstream.tv/sites/default/files/entry/0_wd3w16vp/landscape_carousel_hdpi.webp</v>
      </c>
      <c r="H144" s="4" t="str">
        <f>IFERROR(IFERROR(VLOOKUP(M3U[[#This Row],[ID]],CHANNEL[#All],3,0),VLOOKUP(M3U[[#This Row],[ID]],CHANNEL_EXT[#All],3,0)),"-")</f>
        <v>Gen Ent &amp; Series</v>
      </c>
      <c r="I144" s="8" t="str">
        <f>IF(ISERROR(VLOOKUP(M3U[[#This Row],[ID]]&amp;"-"&amp;M3U[[#This Row],[Q]],STREAM[[#All],[SID]],1,0)),"✗","✓")</f>
        <v>✗</v>
      </c>
      <c r="J144" t="str">
        <f>IFERROR(VLOOKUP(M3U[[#This Row],[ID]]&amp;"-"&amp;M3U[[#This Row],[Q]],STREAM[],5,0),"-")</f>
        <v>-</v>
      </c>
      <c r="K144" t="str">
        <f>IFERROR(VLOOKUP(M3U[[#This Row],[ID]]&amp;"-"&amp;M3U[[#This Row],[Q]],STREAM[],6,0),"-")</f>
        <v>-</v>
      </c>
      <c r="L144" t="b">
        <v>0</v>
      </c>
    </row>
    <row r="145" spans="1:12" x14ac:dyDescent="0.55000000000000004">
      <c r="A145" t="s">
        <v>106</v>
      </c>
      <c r="B145" s="2" t="s">
        <v>591</v>
      </c>
      <c r="C145" s="8" t="str">
        <f>IF(ISERROR(VLOOKUP(M3U[[#This Row],[TVGID]],GUIDE[[#All],[TVGID]],1,0)),"✗","✓")</f>
        <v>✓</v>
      </c>
      <c r="D145">
        <v>532</v>
      </c>
      <c r="E145" t="s">
        <v>271</v>
      </c>
      <c r="F14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Arirang HD</v>
      </c>
      <c r="G145" s="5" t="str">
        <f>IFERROR(IFERROR(VLOOKUP(M3U[[#This Row],[ID]],CHANNEL[#All],4,0),VLOOKUP(M3U[[#This Row],[ID]],CHANNEL_EXT[#All],4,0)),"-")</f>
        <v>https://images.maxstream.tv/sites/default/files/entry/0_wd3w16vp/landscape_carousel_hdpi.webp</v>
      </c>
      <c r="H145" s="4" t="str">
        <f>IFERROR(IFERROR(VLOOKUP(M3U[[#This Row],[ID]],CHANNEL[#All],3,0),VLOOKUP(M3U[[#This Row],[ID]],CHANNEL_EXT[#All],3,0)),"-")</f>
        <v>Gen Ent &amp; Series</v>
      </c>
      <c r="I145" s="8" t="str">
        <f>IF(ISERROR(VLOOKUP(M3U[[#This Row],[ID]]&amp;"-"&amp;M3U[[#This Row],[Q]],STREAM[[#All],[SID]],1,0)),"✗","✓")</f>
        <v>✗</v>
      </c>
      <c r="J145" t="str">
        <f>IFERROR(VLOOKUP(M3U[[#This Row],[ID]]&amp;"-"&amp;M3U[[#This Row],[Q]],STREAM[],5,0),"-")</f>
        <v>-</v>
      </c>
      <c r="K145" t="str">
        <f>IFERROR(VLOOKUP(M3U[[#This Row],[ID]]&amp;"-"&amp;M3U[[#This Row],[Q]],STREAM[],6,0),"-")</f>
        <v>-</v>
      </c>
      <c r="L145" t="b">
        <v>1</v>
      </c>
    </row>
    <row r="146" spans="1:12" x14ac:dyDescent="0.55000000000000004">
      <c r="A146" t="s">
        <v>108</v>
      </c>
      <c r="B146" s="2" t="s">
        <v>592</v>
      </c>
      <c r="C146" s="8" t="str">
        <f>IF(ISERROR(VLOOKUP(M3U[[#This Row],[TVGID]],GUIDE[[#All],[TVGID]],1,0)),"✗","✓")</f>
        <v>✓</v>
      </c>
      <c r="D146">
        <v>533</v>
      </c>
      <c r="E146" t="s">
        <v>321</v>
      </c>
      <c r="F14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CCTV 4</v>
      </c>
      <c r="G146" s="5" t="str">
        <f>IFERROR(IFERROR(VLOOKUP(M3U[[#This Row],[ID]],CHANNEL[#All],4,0),VLOOKUP(M3U[[#This Row],[ID]],CHANNEL_EXT[#All],4,0)),"-")</f>
        <v>https://images.maxstream.tv/sites/default/files/entry/0_xvxr7u43/landscape_carousel_hdpi.webp</v>
      </c>
      <c r="H146" s="4" t="str">
        <f>IFERROR(IFERROR(VLOOKUP(M3U[[#This Row],[ID]],CHANNEL[#All],3,0),VLOOKUP(M3U[[#This Row],[ID]],CHANNEL_EXT[#All],3,0)),"-")</f>
        <v>Gen Ent &amp; Series</v>
      </c>
      <c r="I146" s="8" t="str">
        <f>IF(ISERROR(VLOOKUP(M3U[[#This Row],[ID]]&amp;"-"&amp;M3U[[#This Row],[Q]],STREAM[[#All],[SID]],1,0)),"✗","✓")</f>
        <v>✗</v>
      </c>
      <c r="J146" t="str">
        <f>IFERROR(VLOOKUP(M3U[[#This Row],[ID]]&amp;"-"&amp;M3U[[#This Row],[Q]],STREAM[],5,0),"-")</f>
        <v>-</v>
      </c>
      <c r="K146" t="str">
        <f>IFERROR(VLOOKUP(M3U[[#This Row],[ID]]&amp;"-"&amp;M3U[[#This Row],[Q]],STREAM[],6,0),"-")</f>
        <v>-</v>
      </c>
      <c r="L146" t="b">
        <v>1</v>
      </c>
    </row>
    <row r="147" spans="1:12" hidden="1" x14ac:dyDescent="0.55000000000000004">
      <c r="A147" t="s">
        <v>880</v>
      </c>
      <c r="B147" s="2" t="s">
        <v>593</v>
      </c>
      <c r="C147" s="8" t="str">
        <f>IF(ISERROR(VLOOKUP(M3U[[#This Row],[TVGID]],GUIDE[[#All],[TVGID]],1,0)),"✗","✓")</f>
        <v>✓</v>
      </c>
      <c r="D147">
        <v>534</v>
      </c>
      <c r="E147" t="s">
        <v>321</v>
      </c>
      <c r="F14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Citra Drama</v>
      </c>
      <c r="G147" s="5" t="str">
        <f>IFERROR(IFERROR(VLOOKUP(M3U[[#This Row],[ID]],CHANNEL[#All],4,0),VLOOKUP(M3U[[#This Row],[ID]],CHANNEL_EXT[#All],4,0)),"-")</f>
        <v>https://images.maxstream.tv/sites/default/files/entry/0_k0hnuzu4/landscape_carousel_hdpi.webp</v>
      </c>
      <c r="H147" s="4" t="str">
        <f>IFERROR(IFERROR(VLOOKUP(M3U[[#This Row],[ID]],CHANNEL[#All],3,0),VLOOKUP(M3U[[#This Row],[ID]],CHANNEL_EXT[#All],3,0)),"-")</f>
        <v>Gen Ent &amp; Series</v>
      </c>
      <c r="I147" s="8" t="str">
        <f>IF(ISERROR(VLOOKUP(M3U[[#This Row],[ID]]&amp;"-"&amp;M3U[[#This Row],[Q]],STREAM[[#All],[SID]],1,0)),"✗","✓")</f>
        <v>✗</v>
      </c>
      <c r="J147" t="str">
        <f>IFERROR(VLOOKUP(M3U[[#This Row],[ID]]&amp;"-"&amp;M3U[[#This Row],[Q]],STREAM[],5,0),"-")</f>
        <v>-</v>
      </c>
      <c r="K147" t="str">
        <f>IFERROR(VLOOKUP(M3U[[#This Row],[ID]]&amp;"-"&amp;M3U[[#This Row],[Q]],STREAM[],6,0),"-")</f>
        <v>-</v>
      </c>
      <c r="L147" t="b">
        <v>0</v>
      </c>
    </row>
    <row r="148" spans="1:12" x14ac:dyDescent="0.55000000000000004">
      <c r="A148" t="s">
        <v>880</v>
      </c>
      <c r="B148" s="2" t="s">
        <v>593</v>
      </c>
      <c r="C148" s="8" t="str">
        <f>IF(ISERROR(VLOOKUP(M3U[[#This Row],[TVGID]],GUIDE[[#All],[TVGID]],1,0)),"✗","✓")</f>
        <v>✓</v>
      </c>
      <c r="D148">
        <v>534</v>
      </c>
      <c r="E148" t="s">
        <v>271</v>
      </c>
      <c r="F14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Citra Drama HD</v>
      </c>
      <c r="G148" s="5" t="str">
        <f>IFERROR(IFERROR(VLOOKUP(M3U[[#This Row],[ID]],CHANNEL[#All],4,0),VLOOKUP(M3U[[#This Row],[ID]],CHANNEL_EXT[#All],4,0)),"-")</f>
        <v>https://images.maxstream.tv/sites/default/files/entry/0_k0hnuzu4/landscape_carousel_hdpi.webp</v>
      </c>
      <c r="H148" s="4" t="str">
        <f>IFERROR(IFERROR(VLOOKUP(M3U[[#This Row],[ID]],CHANNEL[#All],3,0),VLOOKUP(M3U[[#This Row],[ID]],CHANNEL_EXT[#All],3,0)),"-")</f>
        <v>Gen Ent &amp; Series</v>
      </c>
      <c r="I148" s="8" t="str">
        <f>IF(ISERROR(VLOOKUP(M3U[[#This Row],[ID]]&amp;"-"&amp;M3U[[#This Row],[Q]],STREAM[[#All],[SID]],1,0)),"✗","✓")</f>
        <v>✗</v>
      </c>
      <c r="J148" t="str">
        <f>IFERROR(VLOOKUP(M3U[[#This Row],[ID]]&amp;"-"&amp;M3U[[#This Row],[Q]],STREAM[],5,0),"-")</f>
        <v>-</v>
      </c>
      <c r="K148" t="str">
        <f>IFERROR(VLOOKUP(M3U[[#This Row],[ID]]&amp;"-"&amp;M3U[[#This Row],[Q]],STREAM[],6,0),"-")</f>
        <v>-</v>
      </c>
      <c r="L148" t="b">
        <v>1</v>
      </c>
    </row>
    <row r="149" spans="1:12" hidden="1" x14ac:dyDescent="0.55000000000000004">
      <c r="A149" t="s">
        <v>224</v>
      </c>
      <c r="B149" s="2" t="s">
        <v>594</v>
      </c>
      <c r="C149" s="8" t="str">
        <f>IF(ISERROR(VLOOKUP(M3U[[#This Row],[TVGID]],GUIDE[[#All],[TVGID]],1,0)),"✗","✓")</f>
        <v>✗</v>
      </c>
      <c r="D149">
        <v>535</v>
      </c>
      <c r="E149" t="s">
        <v>321</v>
      </c>
      <c r="F14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Citra Dangdut</v>
      </c>
      <c r="G149" s="5" t="str">
        <f>IFERROR(IFERROR(VLOOKUP(M3U[[#This Row],[ID]],CHANNEL[#All],4,0),VLOOKUP(M3U[[#This Row],[ID]],CHANNEL_EXT[#All],4,0)),"-")</f>
        <v>https://images.maxstream.tv/sites/default/files/entry/0_n1y6rlt4/landscape_carousel_hdpi.webp</v>
      </c>
      <c r="H149" s="4" t="str">
        <f>IFERROR(IFERROR(VLOOKUP(M3U[[#This Row],[ID]],CHANNEL[#All],3,0),VLOOKUP(M3U[[#This Row],[ID]],CHANNEL_EXT[#All],3,0)),"-")</f>
        <v>Gen Ent &amp; Series</v>
      </c>
      <c r="I149" s="8" t="str">
        <f>IF(ISERROR(VLOOKUP(M3U[[#This Row],[ID]]&amp;"-"&amp;M3U[[#This Row],[Q]],STREAM[[#All],[SID]],1,0)),"✗","✓")</f>
        <v>✗</v>
      </c>
      <c r="J149" t="str">
        <f>IFERROR(VLOOKUP(M3U[[#This Row],[ID]]&amp;"-"&amp;M3U[[#This Row],[Q]],STREAM[],5,0),"-")</f>
        <v>-</v>
      </c>
      <c r="K149" t="str">
        <f>IFERROR(VLOOKUP(M3U[[#This Row],[ID]]&amp;"-"&amp;M3U[[#This Row],[Q]],STREAM[],6,0),"-")</f>
        <v>-</v>
      </c>
      <c r="L149" t="b">
        <v>0</v>
      </c>
    </row>
    <row r="150" spans="1:12" x14ac:dyDescent="0.55000000000000004">
      <c r="A150" t="s">
        <v>224</v>
      </c>
      <c r="B150" s="2" t="s">
        <v>594</v>
      </c>
      <c r="C150" s="8" t="str">
        <f>IF(ISERROR(VLOOKUP(M3U[[#This Row],[TVGID]],GUIDE[[#All],[TVGID]],1,0)),"✗","✓")</f>
        <v>✗</v>
      </c>
      <c r="D150">
        <v>535</v>
      </c>
      <c r="E150" t="s">
        <v>271</v>
      </c>
      <c r="F15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Citra Dangdut HD</v>
      </c>
      <c r="G150" s="5" t="str">
        <f>IFERROR(IFERROR(VLOOKUP(M3U[[#This Row],[ID]],CHANNEL[#All],4,0),VLOOKUP(M3U[[#This Row],[ID]],CHANNEL_EXT[#All],4,0)),"-")</f>
        <v>https://images.maxstream.tv/sites/default/files/entry/0_n1y6rlt4/landscape_carousel_hdpi.webp</v>
      </c>
      <c r="H150" s="4" t="str">
        <f>IFERROR(IFERROR(VLOOKUP(M3U[[#This Row],[ID]],CHANNEL[#All],3,0),VLOOKUP(M3U[[#This Row],[ID]],CHANNEL_EXT[#All],3,0)),"-")</f>
        <v>Gen Ent &amp; Series</v>
      </c>
      <c r="I150" s="8" t="str">
        <f>IF(ISERROR(VLOOKUP(M3U[[#This Row],[ID]]&amp;"-"&amp;M3U[[#This Row],[Q]],STREAM[[#All],[SID]],1,0)),"✗","✓")</f>
        <v>✗</v>
      </c>
      <c r="J150" t="str">
        <f>IFERROR(VLOOKUP(M3U[[#This Row],[ID]]&amp;"-"&amp;M3U[[#This Row],[Q]],STREAM[],5,0),"-")</f>
        <v>-</v>
      </c>
      <c r="K150" t="str">
        <f>IFERROR(VLOOKUP(M3U[[#This Row],[ID]]&amp;"-"&amp;M3U[[#This Row],[Q]],STREAM[],6,0),"-")</f>
        <v>-</v>
      </c>
      <c r="L150" t="b">
        <v>1</v>
      </c>
    </row>
    <row r="151" spans="1:12" hidden="1" x14ac:dyDescent="0.55000000000000004">
      <c r="A151" t="s">
        <v>822</v>
      </c>
      <c r="B151" s="2" t="s">
        <v>595</v>
      </c>
      <c r="C151" s="8" t="str">
        <f>IF(ISERROR(VLOOKUP(M3U[[#This Row],[TVGID]],GUIDE[[#All],[TVGID]],1,0)),"✗","✓")</f>
        <v>✓</v>
      </c>
      <c r="D151">
        <v>537</v>
      </c>
      <c r="E151" t="s">
        <v>321</v>
      </c>
      <c r="F15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ONE</v>
      </c>
      <c r="G151" s="5" t="str">
        <f>IFERROR(IFERROR(VLOOKUP(M3U[[#This Row],[ID]],CHANNEL[#All],4,0),VLOOKUP(M3U[[#This Row],[ID]],CHANNEL_EXT[#All],4,0)),"-")</f>
        <v>https://images.maxstream.tv/sites/default/files/entry/0_awblng5d/landscape_carousel_hdpi.webp</v>
      </c>
      <c r="H151" s="4" t="str">
        <f>IFERROR(IFERROR(VLOOKUP(M3U[[#This Row],[ID]],CHANNEL[#All],3,0),VLOOKUP(M3U[[#This Row],[ID]],CHANNEL_EXT[#All],3,0)),"-")</f>
        <v>Gen Ent &amp; Series</v>
      </c>
      <c r="I151" s="8" t="str">
        <f>IF(ISERROR(VLOOKUP(M3U[[#This Row],[ID]]&amp;"-"&amp;M3U[[#This Row],[Q]],STREAM[[#All],[SID]],1,0)),"✗","✓")</f>
        <v>✗</v>
      </c>
      <c r="J151" t="str">
        <f>IFERROR(VLOOKUP(M3U[[#This Row],[ID]]&amp;"-"&amp;M3U[[#This Row],[Q]],STREAM[],5,0),"-")</f>
        <v>-</v>
      </c>
      <c r="K151" t="str">
        <f>IFERROR(VLOOKUP(M3U[[#This Row],[ID]]&amp;"-"&amp;M3U[[#This Row],[Q]],STREAM[],6,0),"-")</f>
        <v>-</v>
      </c>
      <c r="L151" t="b">
        <v>0</v>
      </c>
    </row>
    <row r="152" spans="1:12" hidden="1" x14ac:dyDescent="0.55000000000000004">
      <c r="A152" t="s">
        <v>822</v>
      </c>
      <c r="B152" s="2" t="s">
        <v>595</v>
      </c>
      <c r="C152" s="8" t="str">
        <f>IF(ISERROR(VLOOKUP(M3U[[#This Row],[TVGID]],GUIDE[[#All],[TVGID]],1,0)),"✗","✓")</f>
        <v>✓</v>
      </c>
      <c r="D152">
        <v>537</v>
      </c>
      <c r="E152" t="s">
        <v>271</v>
      </c>
      <c r="F15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ONE HD</v>
      </c>
      <c r="G152" s="5" t="str">
        <f>IFERROR(IFERROR(VLOOKUP(M3U[[#This Row],[ID]],CHANNEL[#All],4,0),VLOOKUP(M3U[[#This Row],[ID]],CHANNEL_EXT[#All],4,0)),"-")</f>
        <v>https://images.maxstream.tv/sites/default/files/entry/0_awblng5d/landscape_carousel_hdpi.webp</v>
      </c>
      <c r="H152" s="4" t="str">
        <f>IFERROR(IFERROR(VLOOKUP(M3U[[#This Row],[ID]],CHANNEL[#All],3,0),VLOOKUP(M3U[[#This Row],[ID]],CHANNEL_EXT[#All],3,0)),"-")</f>
        <v>Gen Ent &amp; Series</v>
      </c>
      <c r="I152" s="8" t="str">
        <f>IF(ISERROR(VLOOKUP(M3U[[#This Row],[ID]]&amp;"-"&amp;M3U[[#This Row],[Q]],STREAM[[#All],[SID]],1,0)),"✗","✓")</f>
        <v>✗</v>
      </c>
      <c r="J152" t="str">
        <f>IFERROR(VLOOKUP(M3U[[#This Row],[ID]]&amp;"-"&amp;M3U[[#This Row],[Q]],STREAM[],5,0),"-")</f>
        <v>-</v>
      </c>
      <c r="K152" t="str">
        <f>IFERROR(VLOOKUP(M3U[[#This Row],[ID]]&amp;"-"&amp;M3U[[#This Row],[Q]],STREAM[],6,0),"-")</f>
        <v>-</v>
      </c>
      <c r="L152" t="b">
        <v>0</v>
      </c>
    </row>
    <row r="153" spans="1:12" x14ac:dyDescent="0.55000000000000004">
      <c r="A153" t="s">
        <v>906</v>
      </c>
      <c r="B153" s="2" t="s">
        <v>932</v>
      </c>
      <c r="C153" s="8" t="str">
        <f>IF(ISERROR(VLOOKUP(M3U[[#This Row],[TVGID]],GUIDE[[#All],[TVGID]],1,0)),"✗","✓")</f>
        <v>✓</v>
      </c>
      <c r="D153">
        <v>538</v>
      </c>
      <c r="E153" t="s">
        <v>321</v>
      </c>
      <c r="F15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Zhejiang Int</v>
      </c>
      <c r="G153" s="5" t="str">
        <f>IFERROR(IFERROR(VLOOKUP(M3U[[#This Row],[ID]],CHANNEL[#All],4,0),VLOOKUP(M3U[[#This Row],[ID]],CHANNEL_EXT[#All],4,0)),"-")</f>
        <v>https://images.maxstream.tv/sites/default/files/entry/0_r3bzcf53/landscape_carousel_hdpi.webp</v>
      </c>
      <c r="H153" s="4" t="str">
        <f>IFERROR(IFERROR(VLOOKUP(M3U[[#This Row],[ID]],CHANNEL[#All],3,0),VLOOKUP(M3U[[#This Row],[ID]],CHANNEL_EXT[#All],3,0)),"-")</f>
        <v>Gen Ent &amp; Series</v>
      </c>
      <c r="I153" s="8" t="str">
        <f>IF(ISERROR(VLOOKUP(M3U[[#This Row],[ID]]&amp;"-"&amp;M3U[[#This Row],[Q]],STREAM[[#All],[SID]],1,0)),"✗","✓")</f>
        <v>✗</v>
      </c>
      <c r="J153" t="str">
        <f>IFERROR(VLOOKUP(M3U[[#This Row],[ID]]&amp;"-"&amp;M3U[[#This Row],[Q]],STREAM[],5,0),"-")</f>
        <v>-</v>
      </c>
      <c r="K153" t="str">
        <f>IFERROR(VLOOKUP(M3U[[#This Row],[ID]]&amp;"-"&amp;M3U[[#This Row],[Q]],STREAM[],6,0),"-")</f>
        <v>-</v>
      </c>
      <c r="L153" t="b">
        <v>1</v>
      </c>
    </row>
    <row r="154" spans="1:12" x14ac:dyDescent="0.55000000000000004">
      <c r="A154" t="s">
        <v>898</v>
      </c>
      <c r="B154" s="2" t="s">
        <v>933</v>
      </c>
      <c r="C154" s="8" t="str">
        <f>IF(ISERROR(VLOOKUP(M3U[[#This Row],[TVGID]],GUIDE[[#All],[TVGID]],1,0)),"✗","✓")</f>
        <v>✓</v>
      </c>
      <c r="D154">
        <v>539</v>
      </c>
      <c r="E154" t="s">
        <v>321</v>
      </c>
      <c r="F15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Shenzhen TV</v>
      </c>
      <c r="G154" s="5" t="str">
        <f>IFERROR(IFERROR(VLOOKUP(M3U[[#This Row],[ID]],CHANNEL[#All],4,0),VLOOKUP(M3U[[#This Row],[ID]],CHANNEL_EXT[#All],4,0)),"-")</f>
        <v>https://images.maxstream.tv/sites/default/files/entry/0_uxjvyh90/landscape_carousel_hdpi.webp</v>
      </c>
      <c r="H154" s="4" t="str">
        <f>IFERROR(IFERROR(VLOOKUP(M3U[[#This Row],[ID]],CHANNEL[#All],3,0),VLOOKUP(M3U[[#This Row],[ID]],CHANNEL_EXT[#All],3,0)),"-")</f>
        <v>Gen Ent &amp; Series</v>
      </c>
      <c r="I154" s="8" t="str">
        <f>IF(ISERROR(VLOOKUP(M3U[[#This Row],[ID]]&amp;"-"&amp;M3U[[#This Row],[Q]],STREAM[[#All],[SID]],1,0)),"✗","✓")</f>
        <v>✗</v>
      </c>
      <c r="J154" t="str">
        <f>IFERROR(VLOOKUP(M3U[[#This Row],[ID]]&amp;"-"&amp;M3U[[#This Row],[Q]],STREAM[],5,0),"-")</f>
        <v>-</v>
      </c>
      <c r="K154" t="str">
        <f>IFERROR(VLOOKUP(M3U[[#This Row],[ID]]&amp;"-"&amp;M3U[[#This Row],[Q]],STREAM[],6,0),"-")</f>
        <v>-</v>
      </c>
      <c r="L154" t="b">
        <v>1</v>
      </c>
    </row>
    <row r="155" spans="1:12" x14ac:dyDescent="0.55000000000000004">
      <c r="A155" t="s">
        <v>307</v>
      </c>
      <c r="B155" s="2" t="s">
        <v>937</v>
      </c>
      <c r="C155" s="8" t="str">
        <f>IF(ISERROR(VLOOKUP(M3U[[#This Row],[TVGID]],GUIDE[[#All],[TVGID]],1,0)),"✗","✓")</f>
        <v>✓</v>
      </c>
      <c r="D155">
        <v>540</v>
      </c>
      <c r="E155" t="s">
        <v>321</v>
      </c>
      <c r="F15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New TV Variety</v>
      </c>
      <c r="G155" s="5" t="str">
        <f>IFERROR(IFERROR(VLOOKUP(M3U[[#This Row],[ID]],CHANNEL[#All],4,0),VLOOKUP(M3U[[#This Row],[ID]],CHANNEL_EXT[#All],4,0)),"-")</f>
        <v>https://images.maxstream.tv/sites/default/files/entry/0_emchwlj8/landscape_carousel_hdpi.webp</v>
      </c>
      <c r="H155" s="4" t="str">
        <f>IFERROR(IFERROR(VLOOKUP(M3U[[#This Row],[ID]],CHANNEL[#All],3,0),VLOOKUP(M3U[[#This Row],[ID]],CHANNEL_EXT[#All],3,0)),"-")</f>
        <v>Gen Ent &amp; Series</v>
      </c>
      <c r="I155" s="8" t="str">
        <f>IF(ISERROR(VLOOKUP(M3U[[#This Row],[ID]]&amp;"-"&amp;M3U[[#This Row],[Q]],STREAM[[#All],[SID]],1,0)),"✗","✓")</f>
        <v>✗</v>
      </c>
      <c r="J155" t="str">
        <f>IFERROR(VLOOKUP(M3U[[#This Row],[ID]]&amp;"-"&amp;M3U[[#This Row],[Q]],STREAM[],5,0),"-")</f>
        <v>-</v>
      </c>
      <c r="K155" t="str">
        <f>IFERROR(VLOOKUP(M3U[[#This Row],[ID]]&amp;"-"&amp;M3U[[#This Row],[Q]],STREAM[],6,0),"-")</f>
        <v>-</v>
      </c>
      <c r="L155" t="b">
        <v>1</v>
      </c>
    </row>
    <row r="156" spans="1:12" x14ac:dyDescent="0.55000000000000004">
      <c r="A156" t="s">
        <v>315</v>
      </c>
      <c r="B156" s="2" t="s">
        <v>596</v>
      </c>
      <c r="C156" s="8" t="str">
        <f>IF(ISERROR(VLOOKUP(M3U[[#This Row],[TVGID]],GUIDE[[#All],[TVGID]],1,0)),"✗","✓")</f>
        <v>✓</v>
      </c>
      <c r="D156">
        <v>541</v>
      </c>
      <c r="E156" t="s">
        <v>271</v>
      </c>
      <c r="F15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Phoenix Chinese HD</v>
      </c>
      <c r="G156" s="5" t="str">
        <f>IFERROR(IFERROR(VLOOKUP(M3U[[#This Row],[ID]],CHANNEL[#All],4,0),VLOOKUP(M3U[[#This Row],[ID]],CHANNEL_EXT[#All],4,0)),"-")</f>
        <v>https://images.maxstream.tv/sites/default/files/entry/0_gtyd8oju/landscape_carousel_hdpi.webp</v>
      </c>
      <c r="H156" s="4" t="str">
        <f>IFERROR(IFERROR(VLOOKUP(M3U[[#This Row],[ID]],CHANNEL[#All],3,0),VLOOKUP(M3U[[#This Row],[ID]],CHANNEL_EXT[#All],3,0)),"-")</f>
        <v>News</v>
      </c>
      <c r="I156" s="8" t="str">
        <f>IF(ISERROR(VLOOKUP(M3U[[#This Row],[ID]]&amp;"-"&amp;M3U[[#This Row],[Q]],STREAM[[#All],[SID]],1,0)),"✗","✓")</f>
        <v>✗</v>
      </c>
      <c r="J156" t="str">
        <f>IFERROR(VLOOKUP(M3U[[#This Row],[ID]]&amp;"-"&amp;M3U[[#This Row],[Q]],STREAM[],5,0),"-")</f>
        <v>-</v>
      </c>
      <c r="K156" t="str">
        <f>IFERROR(VLOOKUP(M3U[[#This Row],[ID]]&amp;"-"&amp;M3U[[#This Row],[Q]],STREAM[],6,0),"-")</f>
        <v>-</v>
      </c>
      <c r="L156" t="b">
        <v>1</v>
      </c>
    </row>
    <row r="157" spans="1:12" x14ac:dyDescent="0.55000000000000004">
      <c r="A157" t="s">
        <v>279</v>
      </c>
      <c r="B157" s="2" t="s">
        <v>597</v>
      </c>
      <c r="C157" s="8" t="str">
        <f>IF(ISERROR(VLOOKUP(M3U[[#This Row],[TVGID]],GUIDE[[#All],[TVGID]],1,0)),"✗","✓")</f>
        <v>✓</v>
      </c>
      <c r="D157">
        <v>542</v>
      </c>
      <c r="E157" t="s">
        <v>321</v>
      </c>
      <c r="F15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Chinese Drama</v>
      </c>
      <c r="G157" s="5" t="str">
        <f>IFERROR(IFERROR(VLOOKUP(M3U[[#This Row],[ID]],CHANNEL[#All],4,0),VLOOKUP(M3U[[#This Row],[ID]],CHANNEL_EXT[#All],4,0)),"-")</f>
        <v>https://images.maxstream.tv/sites/default/files/entry/0_yvb8lpzs/landscape_carousel_hdpi.webp</v>
      </c>
      <c r="H157" s="4" t="str">
        <f>IFERROR(IFERROR(VLOOKUP(M3U[[#This Row],[ID]],CHANNEL[#All],3,0),VLOOKUP(M3U[[#This Row],[ID]],CHANNEL_EXT[#All],3,0)),"-")</f>
        <v>Gen Ent &amp; Series</v>
      </c>
      <c r="I157" s="8" t="str">
        <f>IF(ISERROR(VLOOKUP(M3U[[#This Row],[ID]]&amp;"-"&amp;M3U[[#This Row],[Q]],STREAM[[#All],[SID]],1,0)),"✗","✓")</f>
        <v>✗</v>
      </c>
      <c r="J157" t="str">
        <f>IFERROR(VLOOKUP(M3U[[#This Row],[ID]]&amp;"-"&amp;M3U[[#This Row],[Q]],STREAM[],5,0),"-")</f>
        <v>-</v>
      </c>
      <c r="K157" t="str">
        <f>IFERROR(VLOOKUP(M3U[[#This Row],[ID]]&amp;"-"&amp;M3U[[#This Row],[Q]],STREAM[],6,0),"-")</f>
        <v>-</v>
      </c>
      <c r="L157" t="b">
        <v>1</v>
      </c>
    </row>
    <row r="158" spans="1:12" x14ac:dyDescent="0.55000000000000004">
      <c r="A158" t="s">
        <v>319</v>
      </c>
      <c r="B158" s="2" t="s">
        <v>377</v>
      </c>
      <c r="C158" s="8" t="str">
        <f>IF(ISERROR(VLOOKUP(M3U[[#This Row],[TVGID]],GUIDE[[#All],[TVGID]],1,0)),"✗","✓")</f>
        <v>✓</v>
      </c>
      <c r="D158">
        <v>600</v>
      </c>
      <c r="E158" t="s">
        <v>271</v>
      </c>
      <c r="F15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Studio Universal HD</v>
      </c>
      <c r="G158" s="5" t="str">
        <f>IFERROR(IFERROR(VLOOKUP(M3U[[#This Row],[ID]],CHANNEL[#All],4,0),VLOOKUP(M3U[[#This Row],[ID]],CHANNEL_EXT[#All],4,0)),"-")</f>
        <v>https://images.maxstream.tv/sites/default/files/entry/0_jhb1o6kj/landscape_carousel_hdpi.webp</v>
      </c>
      <c r="H158" s="4" t="str">
        <f>IFERROR(IFERROR(VLOOKUP(M3U[[#This Row],[ID]],CHANNEL[#All],3,0),VLOOKUP(M3U[[#This Row],[ID]],CHANNEL_EXT[#All],3,0)),"-")</f>
        <v>Movies and Entertainment</v>
      </c>
      <c r="I158" s="8" t="str">
        <f>IF(ISERROR(VLOOKUP(M3U[[#This Row],[ID]]&amp;"-"&amp;M3U[[#This Row],[Q]],STREAM[[#All],[SID]],1,0)),"✗","✓")</f>
        <v>✗</v>
      </c>
      <c r="J158" t="str">
        <f>IFERROR(VLOOKUP(M3U[[#This Row],[ID]]&amp;"-"&amp;M3U[[#This Row],[Q]],STREAM[],5,0),"-")</f>
        <v>-</v>
      </c>
      <c r="K158" t="str">
        <f>IFERROR(VLOOKUP(M3U[[#This Row],[ID]]&amp;"-"&amp;M3U[[#This Row],[Q]],STREAM[],6,0),"-")</f>
        <v>-</v>
      </c>
      <c r="L158" t="b">
        <v>1</v>
      </c>
    </row>
    <row r="159" spans="1:12" hidden="1" x14ac:dyDescent="0.55000000000000004">
      <c r="A159" t="s">
        <v>286</v>
      </c>
      <c r="B159" s="2" t="s">
        <v>598</v>
      </c>
      <c r="C159" s="8" t="str">
        <f>IF(ISERROR(VLOOKUP(M3U[[#This Row],[TVGID]],GUIDE[[#All],[TVGID]],1,0)),"✗","✓")</f>
        <v>✓</v>
      </c>
      <c r="D159">
        <v>601</v>
      </c>
      <c r="E159" t="s">
        <v>321</v>
      </c>
      <c r="F15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HBO</v>
      </c>
      <c r="G159" s="5" t="str">
        <f>IFERROR(IFERROR(VLOOKUP(M3U[[#This Row],[ID]],CHANNEL[#All],4,0),VLOOKUP(M3U[[#This Row],[ID]],CHANNEL_EXT[#All],4,0)),"-")</f>
        <v>https://images.maxstream.tv/sites/default/files/entry/0_xgdr0qbd/landscape_carousel_hdpi.webp</v>
      </c>
      <c r="H159" s="4" t="str">
        <f>IFERROR(IFERROR(VLOOKUP(M3U[[#This Row],[ID]],CHANNEL[#All],3,0),VLOOKUP(M3U[[#This Row],[ID]],CHANNEL_EXT[#All],3,0)),"-")</f>
        <v>Movies and Entertainment</v>
      </c>
      <c r="I159" s="8" t="str">
        <f>IF(ISERROR(VLOOKUP(M3U[[#This Row],[ID]]&amp;"-"&amp;M3U[[#This Row],[Q]],STREAM[[#All],[SID]],1,0)),"✗","✓")</f>
        <v>✗</v>
      </c>
      <c r="J159" t="str">
        <f>IFERROR(VLOOKUP(M3U[[#This Row],[ID]]&amp;"-"&amp;M3U[[#This Row],[Q]],STREAM[],5,0),"-")</f>
        <v>-</v>
      </c>
      <c r="K159" t="str">
        <f>IFERROR(VLOOKUP(M3U[[#This Row],[ID]]&amp;"-"&amp;M3U[[#This Row],[Q]],STREAM[],6,0),"-")</f>
        <v>-</v>
      </c>
      <c r="L159" t="b">
        <v>0</v>
      </c>
    </row>
    <row r="160" spans="1:12" x14ac:dyDescent="0.55000000000000004">
      <c r="A160" t="s">
        <v>286</v>
      </c>
      <c r="B160" s="2" t="s">
        <v>598</v>
      </c>
      <c r="C160" s="8" t="str">
        <f>IF(ISERROR(VLOOKUP(M3U[[#This Row],[TVGID]],GUIDE[[#All],[TVGID]],1,0)),"✗","✓")</f>
        <v>✓</v>
      </c>
      <c r="D160">
        <v>601</v>
      </c>
      <c r="E160" t="s">
        <v>271</v>
      </c>
      <c r="F16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HBO HD</v>
      </c>
      <c r="G160" s="5" t="str">
        <f>IFERROR(IFERROR(VLOOKUP(M3U[[#This Row],[ID]],CHANNEL[#All],4,0),VLOOKUP(M3U[[#This Row],[ID]],CHANNEL_EXT[#All],4,0)),"-")</f>
        <v>https://images.maxstream.tv/sites/default/files/entry/0_xgdr0qbd/landscape_carousel_hdpi.webp</v>
      </c>
      <c r="H160" s="4" t="str">
        <f>IFERROR(IFERROR(VLOOKUP(M3U[[#This Row],[ID]],CHANNEL[#All],3,0),VLOOKUP(M3U[[#This Row],[ID]],CHANNEL_EXT[#All],3,0)),"-")</f>
        <v>Movies and Entertainment</v>
      </c>
      <c r="I160" s="8" t="str">
        <f>IF(ISERROR(VLOOKUP(M3U[[#This Row],[ID]]&amp;"-"&amp;M3U[[#This Row],[Q]],STREAM[[#All],[SID]],1,0)),"✗","✓")</f>
        <v>✗</v>
      </c>
      <c r="J160" t="str">
        <f>IFERROR(VLOOKUP(M3U[[#This Row],[ID]]&amp;"-"&amp;M3U[[#This Row],[Q]],STREAM[],5,0),"-")</f>
        <v>-</v>
      </c>
      <c r="K160" t="str">
        <f>IFERROR(VLOOKUP(M3U[[#This Row],[ID]]&amp;"-"&amp;M3U[[#This Row],[Q]],STREAM[],6,0),"-")</f>
        <v>-</v>
      </c>
      <c r="L160" t="b">
        <v>1</v>
      </c>
    </row>
    <row r="161" spans="1:12" hidden="1" x14ac:dyDescent="0.55000000000000004">
      <c r="A161" t="s">
        <v>288</v>
      </c>
      <c r="B161" s="2" t="s">
        <v>599</v>
      </c>
      <c r="C161" s="8" t="str">
        <f>IF(ISERROR(VLOOKUP(M3U[[#This Row],[TVGID]],GUIDE[[#All],[TVGID]],1,0)),"✗","✓")</f>
        <v>✓</v>
      </c>
      <c r="D161">
        <v>602</v>
      </c>
      <c r="E161" t="s">
        <v>321</v>
      </c>
      <c r="F16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HBO Signature</v>
      </c>
      <c r="G161" s="5" t="str">
        <f>IFERROR(IFERROR(VLOOKUP(M3U[[#This Row],[ID]],CHANNEL[#All],4,0),VLOOKUP(M3U[[#This Row],[ID]],CHANNEL_EXT[#All],4,0)),"-")</f>
        <v>https://images.maxstream.tv/sites/default/files/entry/0_s6bo567h/landscape_carousel_hdpi.webp</v>
      </c>
      <c r="H161" s="4" t="str">
        <f>IFERROR(IFERROR(VLOOKUP(M3U[[#This Row],[ID]],CHANNEL[#All],3,0),VLOOKUP(M3U[[#This Row],[ID]],CHANNEL_EXT[#All],3,0)),"-")</f>
        <v>Movies and Entertainment</v>
      </c>
      <c r="I161" s="8" t="str">
        <f>IF(ISERROR(VLOOKUP(M3U[[#This Row],[ID]]&amp;"-"&amp;M3U[[#This Row],[Q]],STREAM[[#All],[SID]],1,0)),"✗","✓")</f>
        <v>✗</v>
      </c>
      <c r="J161" t="str">
        <f>IFERROR(VLOOKUP(M3U[[#This Row],[ID]]&amp;"-"&amp;M3U[[#This Row],[Q]],STREAM[],5,0),"-")</f>
        <v>-</v>
      </c>
      <c r="K161" t="str">
        <f>IFERROR(VLOOKUP(M3U[[#This Row],[ID]]&amp;"-"&amp;M3U[[#This Row],[Q]],STREAM[],6,0),"-")</f>
        <v>-</v>
      </c>
      <c r="L161" t="b">
        <v>0</v>
      </c>
    </row>
    <row r="162" spans="1:12" x14ac:dyDescent="0.55000000000000004">
      <c r="A162" t="s">
        <v>288</v>
      </c>
      <c r="B162" s="2" t="s">
        <v>599</v>
      </c>
      <c r="C162" s="8" t="str">
        <f>IF(ISERROR(VLOOKUP(M3U[[#This Row],[TVGID]],GUIDE[[#All],[TVGID]],1,0)),"✗","✓")</f>
        <v>✓</v>
      </c>
      <c r="D162">
        <v>602</v>
      </c>
      <c r="E162" t="s">
        <v>271</v>
      </c>
      <c r="F16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HBO Signature HD</v>
      </c>
      <c r="G162" s="5" t="str">
        <f>IFERROR(IFERROR(VLOOKUP(M3U[[#This Row],[ID]],CHANNEL[#All],4,0),VLOOKUP(M3U[[#This Row],[ID]],CHANNEL_EXT[#All],4,0)),"-")</f>
        <v>https://images.maxstream.tv/sites/default/files/entry/0_s6bo567h/landscape_carousel_hdpi.webp</v>
      </c>
      <c r="H162" s="4" t="str">
        <f>IFERROR(IFERROR(VLOOKUP(M3U[[#This Row],[ID]],CHANNEL[#All],3,0),VLOOKUP(M3U[[#This Row],[ID]],CHANNEL_EXT[#All],3,0)),"-")</f>
        <v>Movies and Entertainment</v>
      </c>
      <c r="I162" s="8" t="str">
        <f>IF(ISERROR(VLOOKUP(M3U[[#This Row],[ID]]&amp;"-"&amp;M3U[[#This Row],[Q]],STREAM[[#All],[SID]],1,0)),"✗","✓")</f>
        <v>✗</v>
      </c>
      <c r="J162" t="str">
        <f>IFERROR(VLOOKUP(M3U[[#This Row],[ID]]&amp;"-"&amp;M3U[[#This Row],[Q]],STREAM[],5,0),"-")</f>
        <v>-</v>
      </c>
      <c r="K162" t="str">
        <f>IFERROR(VLOOKUP(M3U[[#This Row],[ID]]&amp;"-"&amp;M3U[[#This Row],[Q]],STREAM[],6,0),"-")</f>
        <v>-</v>
      </c>
      <c r="L162" t="b">
        <v>1</v>
      </c>
    </row>
    <row r="163" spans="1:12" hidden="1" x14ac:dyDescent="0.55000000000000004">
      <c r="A163" t="s">
        <v>287</v>
      </c>
      <c r="B163" s="2" t="s">
        <v>600</v>
      </c>
      <c r="C163" s="8" t="str">
        <f>IF(ISERROR(VLOOKUP(M3U[[#This Row],[TVGID]],GUIDE[[#All],[TVGID]],1,0)),"✗","✓")</f>
        <v>✓</v>
      </c>
      <c r="D163">
        <v>603</v>
      </c>
      <c r="E163" t="s">
        <v>321</v>
      </c>
      <c r="F16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Cinemax</v>
      </c>
      <c r="G163" s="5" t="str">
        <f>IFERROR(IFERROR(VLOOKUP(M3U[[#This Row],[ID]],CHANNEL[#All],4,0),VLOOKUP(M3U[[#This Row],[ID]],CHANNEL_EXT[#All],4,0)),"-")</f>
        <v>https://images.maxstream.tv/sites/default/files/entry/0_7vx2webw/landscape_carousel_hdpi.webp</v>
      </c>
      <c r="H163" s="4" t="str">
        <f>IFERROR(IFERROR(VLOOKUP(M3U[[#This Row],[ID]],CHANNEL[#All],3,0),VLOOKUP(M3U[[#This Row],[ID]],CHANNEL_EXT[#All],3,0)),"-")</f>
        <v>Movies and Entertainment</v>
      </c>
      <c r="I163" s="8" t="str">
        <f>IF(ISERROR(VLOOKUP(M3U[[#This Row],[ID]]&amp;"-"&amp;M3U[[#This Row],[Q]],STREAM[[#All],[SID]],1,0)),"✗","✓")</f>
        <v>✗</v>
      </c>
      <c r="J163" t="str">
        <f>IFERROR(VLOOKUP(M3U[[#This Row],[ID]]&amp;"-"&amp;M3U[[#This Row],[Q]],STREAM[],5,0),"-")</f>
        <v>-</v>
      </c>
      <c r="K163" t="str">
        <f>IFERROR(VLOOKUP(M3U[[#This Row],[ID]]&amp;"-"&amp;M3U[[#This Row],[Q]],STREAM[],6,0),"-")</f>
        <v>-</v>
      </c>
      <c r="L163" t="b">
        <v>0</v>
      </c>
    </row>
    <row r="164" spans="1:12" x14ac:dyDescent="0.55000000000000004">
      <c r="A164" t="s">
        <v>287</v>
      </c>
      <c r="B164" s="2" t="s">
        <v>600</v>
      </c>
      <c r="C164" s="8" t="str">
        <f>IF(ISERROR(VLOOKUP(M3U[[#This Row],[TVGID]],GUIDE[[#All],[TVGID]],1,0)),"✗","✓")</f>
        <v>✓</v>
      </c>
      <c r="D164">
        <v>603</v>
      </c>
      <c r="E164" t="s">
        <v>271</v>
      </c>
      <c r="F16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Cinemax HD</v>
      </c>
      <c r="G164" s="5" t="str">
        <f>IFERROR(IFERROR(VLOOKUP(M3U[[#This Row],[ID]],CHANNEL[#All],4,0),VLOOKUP(M3U[[#This Row],[ID]],CHANNEL_EXT[#All],4,0)),"-")</f>
        <v>https://images.maxstream.tv/sites/default/files/entry/0_7vx2webw/landscape_carousel_hdpi.webp</v>
      </c>
      <c r="H164" s="4" t="str">
        <f>IFERROR(IFERROR(VLOOKUP(M3U[[#This Row],[ID]],CHANNEL[#All],3,0),VLOOKUP(M3U[[#This Row],[ID]],CHANNEL_EXT[#All],3,0)),"-")</f>
        <v>Movies and Entertainment</v>
      </c>
      <c r="I164" s="8" t="str">
        <f>IF(ISERROR(VLOOKUP(M3U[[#This Row],[ID]]&amp;"-"&amp;M3U[[#This Row],[Q]],STREAM[[#All],[SID]],1,0)),"✗","✓")</f>
        <v>✗</v>
      </c>
      <c r="J164" t="str">
        <f>IFERROR(VLOOKUP(M3U[[#This Row],[ID]]&amp;"-"&amp;M3U[[#This Row],[Q]],STREAM[],5,0),"-")</f>
        <v>-</v>
      </c>
      <c r="K164" t="str">
        <f>IFERROR(VLOOKUP(M3U[[#This Row],[ID]]&amp;"-"&amp;M3U[[#This Row],[Q]],STREAM[],6,0),"-")</f>
        <v>-</v>
      </c>
      <c r="L164" t="b">
        <v>1</v>
      </c>
    </row>
    <row r="165" spans="1:12" hidden="1" x14ac:dyDescent="0.55000000000000004">
      <c r="A165" t="s">
        <v>289</v>
      </c>
      <c r="B165" s="2" t="s">
        <v>601</v>
      </c>
      <c r="C165" s="8" t="str">
        <f>IF(ISERROR(VLOOKUP(M3U[[#This Row],[TVGID]],GUIDE[[#All],[TVGID]],1,0)),"✗","✓")</f>
        <v>✓</v>
      </c>
      <c r="D165">
        <v>604</v>
      </c>
      <c r="E165" t="s">
        <v>321</v>
      </c>
      <c r="F16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HBO Hits</v>
      </c>
      <c r="G165" s="5" t="str">
        <f>IFERROR(IFERROR(VLOOKUP(M3U[[#This Row],[ID]],CHANNEL[#All],4,0),VLOOKUP(M3U[[#This Row],[ID]],CHANNEL_EXT[#All],4,0)),"-")</f>
        <v>https://images.maxstream.tv/sites/default/files/entry/0_k7eh4erk/landscape_carousel_hdpi.webp</v>
      </c>
      <c r="H165" s="4" t="str">
        <f>IFERROR(IFERROR(VLOOKUP(M3U[[#This Row],[ID]],CHANNEL[#All],3,0),VLOOKUP(M3U[[#This Row],[ID]],CHANNEL_EXT[#All],3,0)),"-")</f>
        <v>Movies and Entertainment</v>
      </c>
      <c r="I165" s="8" t="str">
        <f>IF(ISERROR(VLOOKUP(M3U[[#This Row],[ID]]&amp;"-"&amp;M3U[[#This Row],[Q]],STREAM[[#All],[SID]],1,0)),"✗","✓")</f>
        <v>✗</v>
      </c>
      <c r="J165" t="str">
        <f>IFERROR(VLOOKUP(M3U[[#This Row],[ID]]&amp;"-"&amp;M3U[[#This Row],[Q]],STREAM[],5,0),"-")</f>
        <v>-</v>
      </c>
      <c r="K165" t="str">
        <f>IFERROR(VLOOKUP(M3U[[#This Row],[ID]]&amp;"-"&amp;M3U[[#This Row],[Q]],STREAM[],6,0),"-")</f>
        <v>-</v>
      </c>
      <c r="L165" t="b">
        <v>0</v>
      </c>
    </row>
    <row r="166" spans="1:12" x14ac:dyDescent="0.55000000000000004">
      <c r="A166" t="s">
        <v>289</v>
      </c>
      <c r="B166" s="2" t="s">
        <v>601</v>
      </c>
      <c r="C166" s="8" t="str">
        <f>IF(ISERROR(VLOOKUP(M3U[[#This Row],[TVGID]],GUIDE[[#All],[TVGID]],1,0)),"✗","✓")</f>
        <v>✓</v>
      </c>
      <c r="D166">
        <v>604</v>
      </c>
      <c r="E166" t="s">
        <v>271</v>
      </c>
      <c r="F16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HBO Hits HD</v>
      </c>
      <c r="G166" s="5" t="str">
        <f>IFERROR(IFERROR(VLOOKUP(M3U[[#This Row],[ID]],CHANNEL[#All],4,0),VLOOKUP(M3U[[#This Row],[ID]],CHANNEL_EXT[#All],4,0)),"-")</f>
        <v>https://images.maxstream.tv/sites/default/files/entry/0_k7eh4erk/landscape_carousel_hdpi.webp</v>
      </c>
      <c r="H166" s="4" t="str">
        <f>IFERROR(IFERROR(VLOOKUP(M3U[[#This Row],[ID]],CHANNEL[#All],3,0),VLOOKUP(M3U[[#This Row],[ID]],CHANNEL_EXT[#All],3,0)),"-")</f>
        <v>Movies and Entertainment</v>
      </c>
      <c r="I166" s="8" t="str">
        <f>IF(ISERROR(VLOOKUP(M3U[[#This Row],[ID]]&amp;"-"&amp;M3U[[#This Row],[Q]],STREAM[[#All],[SID]],1,0)),"✗","✓")</f>
        <v>✗</v>
      </c>
      <c r="J166" t="str">
        <f>IFERROR(VLOOKUP(M3U[[#This Row],[ID]]&amp;"-"&amp;M3U[[#This Row],[Q]],STREAM[],5,0),"-")</f>
        <v>-</v>
      </c>
      <c r="K166" t="str">
        <f>IFERROR(VLOOKUP(M3U[[#This Row],[ID]]&amp;"-"&amp;M3U[[#This Row],[Q]],STREAM[],6,0),"-")</f>
        <v>-</v>
      </c>
      <c r="L166" t="b">
        <v>1</v>
      </c>
    </row>
    <row r="167" spans="1:12" hidden="1" x14ac:dyDescent="0.55000000000000004">
      <c r="A167" t="s">
        <v>290</v>
      </c>
      <c r="B167" s="2" t="s">
        <v>602</v>
      </c>
      <c r="C167" s="8" t="str">
        <f>IF(ISERROR(VLOOKUP(M3U[[#This Row],[TVGID]],GUIDE[[#All],[TVGID]],1,0)),"✗","✓")</f>
        <v>✓</v>
      </c>
      <c r="D167">
        <v>605</v>
      </c>
      <c r="E167" t="s">
        <v>321</v>
      </c>
      <c r="F16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HBO Family</v>
      </c>
      <c r="G167" s="5" t="str">
        <f>IFERROR(IFERROR(VLOOKUP(M3U[[#This Row],[ID]],CHANNEL[#All],4,0),VLOOKUP(M3U[[#This Row],[ID]],CHANNEL_EXT[#All],4,0)),"-")</f>
        <v>https://images.maxstream.tv/sites/default/files/entry/0_qqui53si/landscape_carousel_hdpi.webp</v>
      </c>
      <c r="H167" s="4" t="str">
        <f>IFERROR(IFERROR(VLOOKUP(M3U[[#This Row],[ID]],CHANNEL[#All],3,0),VLOOKUP(M3U[[#This Row],[ID]],CHANNEL_EXT[#All],3,0)),"-")</f>
        <v>Movies and Entertainment</v>
      </c>
      <c r="I167" s="8" t="str">
        <f>IF(ISERROR(VLOOKUP(M3U[[#This Row],[ID]]&amp;"-"&amp;M3U[[#This Row],[Q]],STREAM[[#All],[SID]],1,0)),"✗","✓")</f>
        <v>✗</v>
      </c>
      <c r="J167" t="str">
        <f>IFERROR(VLOOKUP(M3U[[#This Row],[ID]]&amp;"-"&amp;M3U[[#This Row],[Q]],STREAM[],5,0),"-")</f>
        <v>-</v>
      </c>
      <c r="K167" t="str">
        <f>IFERROR(VLOOKUP(M3U[[#This Row],[ID]]&amp;"-"&amp;M3U[[#This Row],[Q]],STREAM[],6,0),"-")</f>
        <v>-</v>
      </c>
      <c r="L167" t="b">
        <v>0</v>
      </c>
    </row>
    <row r="168" spans="1:12" x14ac:dyDescent="0.55000000000000004">
      <c r="A168" t="s">
        <v>290</v>
      </c>
      <c r="B168" s="2" t="s">
        <v>602</v>
      </c>
      <c r="C168" s="8" t="str">
        <f>IF(ISERROR(VLOOKUP(M3U[[#This Row],[TVGID]],GUIDE[[#All],[TVGID]],1,0)),"✗","✓")</f>
        <v>✓</v>
      </c>
      <c r="D168">
        <v>605</v>
      </c>
      <c r="E168" t="s">
        <v>271</v>
      </c>
      <c r="F16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HBO Family HD</v>
      </c>
      <c r="G168" s="5" t="str">
        <f>IFERROR(IFERROR(VLOOKUP(M3U[[#This Row],[ID]],CHANNEL[#All],4,0),VLOOKUP(M3U[[#This Row],[ID]],CHANNEL_EXT[#All],4,0)),"-")</f>
        <v>https://images.maxstream.tv/sites/default/files/entry/0_qqui53si/landscape_carousel_hdpi.webp</v>
      </c>
      <c r="H168" s="4" t="str">
        <f>IFERROR(IFERROR(VLOOKUP(M3U[[#This Row],[ID]],CHANNEL[#All],3,0),VLOOKUP(M3U[[#This Row],[ID]],CHANNEL_EXT[#All],3,0)),"-")</f>
        <v>Movies and Entertainment</v>
      </c>
      <c r="I168" s="8" t="str">
        <f>IF(ISERROR(VLOOKUP(M3U[[#This Row],[ID]]&amp;"-"&amp;M3U[[#This Row],[Q]],STREAM[[#All],[SID]],1,0)),"✗","✓")</f>
        <v>✗</v>
      </c>
      <c r="J168" t="str">
        <f>IFERROR(VLOOKUP(M3U[[#This Row],[ID]]&amp;"-"&amp;M3U[[#This Row],[Q]],STREAM[],5,0),"-")</f>
        <v>-</v>
      </c>
      <c r="K168" t="str">
        <f>IFERROR(VLOOKUP(M3U[[#This Row],[ID]]&amp;"-"&amp;M3U[[#This Row],[Q]],STREAM[],6,0),"-")</f>
        <v>-</v>
      </c>
      <c r="L168" t="b">
        <v>1</v>
      </c>
    </row>
    <row r="169" spans="1:12" hidden="1" x14ac:dyDescent="0.55000000000000004">
      <c r="A169" t="s">
        <v>887</v>
      </c>
      <c r="B169" s="2" t="s">
        <v>603</v>
      </c>
      <c r="C169" s="8" t="str">
        <f>IF(ISERROR(VLOOKUP(M3U[[#This Row],[TVGID]],GUIDE[[#All],[TVGID]],1,0)),"✗","✓")</f>
        <v>✓</v>
      </c>
      <c r="D169">
        <v>606</v>
      </c>
      <c r="E169" t="s">
        <v>321</v>
      </c>
      <c r="F16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HITS MOVIES</v>
      </c>
      <c r="G169" s="5" t="str">
        <f>IFERROR(IFERROR(VLOOKUP(M3U[[#This Row],[ID]],CHANNEL[#All],4,0),VLOOKUP(M3U[[#This Row],[ID]],CHANNEL_EXT[#All],4,0)),"-")</f>
        <v>https://images.maxstream.tv/sites/default/files/entry/0_zrs82szk/landscape_carousel_hdpi.webp</v>
      </c>
      <c r="H169" s="4" t="str">
        <f>IFERROR(IFERROR(VLOOKUP(M3U[[#This Row],[ID]],CHANNEL[#All],3,0),VLOOKUP(M3U[[#This Row],[ID]],CHANNEL_EXT[#All],3,0)),"-")</f>
        <v>Movies and Entertainment</v>
      </c>
      <c r="I169" s="8" t="str">
        <f>IF(ISERROR(VLOOKUP(M3U[[#This Row],[ID]]&amp;"-"&amp;M3U[[#This Row],[Q]],STREAM[[#All],[SID]],1,0)),"✗","✓")</f>
        <v>✗</v>
      </c>
      <c r="J169" t="str">
        <f>IFERROR(VLOOKUP(M3U[[#This Row],[ID]]&amp;"-"&amp;M3U[[#This Row],[Q]],STREAM[],5,0),"-")</f>
        <v>-</v>
      </c>
      <c r="K169" t="str">
        <f>IFERROR(VLOOKUP(M3U[[#This Row],[ID]]&amp;"-"&amp;M3U[[#This Row],[Q]],STREAM[],6,0),"-")</f>
        <v>-</v>
      </c>
      <c r="L169" t="b">
        <v>0</v>
      </c>
    </row>
    <row r="170" spans="1:12" x14ac:dyDescent="0.55000000000000004">
      <c r="A170" t="s">
        <v>887</v>
      </c>
      <c r="B170" s="2" t="s">
        <v>603</v>
      </c>
      <c r="C170" s="8" t="str">
        <f>IF(ISERROR(VLOOKUP(M3U[[#This Row],[TVGID]],GUIDE[[#All],[TVGID]],1,0)),"✗","✓")</f>
        <v>✓</v>
      </c>
      <c r="D170">
        <v>606</v>
      </c>
      <c r="E170" t="s">
        <v>271</v>
      </c>
      <c r="F17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HITS MOVIES HD</v>
      </c>
      <c r="G170" s="5" t="str">
        <f>IFERROR(IFERROR(VLOOKUP(M3U[[#This Row],[ID]],CHANNEL[#All],4,0),VLOOKUP(M3U[[#This Row],[ID]],CHANNEL_EXT[#All],4,0)),"-")</f>
        <v>https://images.maxstream.tv/sites/default/files/entry/0_zrs82szk/landscape_carousel_hdpi.webp</v>
      </c>
      <c r="H170" s="4" t="str">
        <f>IFERROR(IFERROR(VLOOKUP(M3U[[#This Row],[ID]],CHANNEL[#All],3,0),VLOOKUP(M3U[[#This Row],[ID]],CHANNEL_EXT[#All],3,0)),"-")</f>
        <v>Movies and Entertainment</v>
      </c>
      <c r="I170" s="8" t="str">
        <f>IF(ISERROR(VLOOKUP(M3U[[#This Row],[ID]]&amp;"-"&amp;M3U[[#This Row],[Q]],STREAM[[#All],[SID]],1,0)),"✗","✓")</f>
        <v>✗</v>
      </c>
      <c r="J170" t="str">
        <f>IFERROR(VLOOKUP(M3U[[#This Row],[ID]]&amp;"-"&amp;M3U[[#This Row],[Q]],STREAM[],5,0),"-")</f>
        <v>-</v>
      </c>
      <c r="K170" t="str">
        <f>IFERROR(VLOOKUP(M3U[[#This Row],[ID]]&amp;"-"&amp;M3U[[#This Row],[Q]],STREAM[],6,0),"-")</f>
        <v>-</v>
      </c>
      <c r="L170" t="b">
        <v>1</v>
      </c>
    </row>
    <row r="171" spans="1:12" x14ac:dyDescent="0.55000000000000004">
      <c r="A171" t="s">
        <v>219</v>
      </c>
      <c r="B171" s="2" t="s">
        <v>604</v>
      </c>
      <c r="C171" s="8" t="str">
        <f>IF(ISERROR(VLOOKUP(M3U[[#This Row],[TVGID]],GUIDE[[#All],[TVGID]],1,0)),"✗","✓")</f>
        <v>✓</v>
      </c>
      <c r="D171">
        <v>610</v>
      </c>
      <c r="E171" t="s">
        <v>321</v>
      </c>
      <c r="F17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Thrill</v>
      </c>
      <c r="G171" s="5" t="str">
        <f>IFERROR(IFERROR(VLOOKUP(M3U[[#This Row],[ID]],CHANNEL[#All],4,0),VLOOKUP(M3U[[#This Row],[ID]],CHANNEL_EXT[#All],4,0)),"-")</f>
        <v>https://images.maxstream.tv/sites/default/files/entry/0_wiy2wbmv/landscape_carousel_hdpi.webp</v>
      </c>
      <c r="H171" s="4" t="str">
        <f>IFERROR(IFERROR(VLOOKUP(M3U[[#This Row],[ID]],CHANNEL[#All],3,0),VLOOKUP(M3U[[#This Row],[ID]],CHANNEL_EXT[#All],3,0)),"-")</f>
        <v>Movies and Entertainment</v>
      </c>
      <c r="I171" s="8" t="str">
        <f>IF(ISERROR(VLOOKUP(M3U[[#This Row],[ID]]&amp;"-"&amp;M3U[[#This Row],[Q]],STREAM[[#All],[SID]],1,0)),"✗","✓")</f>
        <v>✗</v>
      </c>
      <c r="J171" t="str">
        <f>IFERROR(VLOOKUP(M3U[[#This Row],[ID]]&amp;"-"&amp;M3U[[#This Row],[Q]],STREAM[],5,0),"-")</f>
        <v>-</v>
      </c>
      <c r="K171" t="str">
        <f>IFERROR(VLOOKUP(M3U[[#This Row],[ID]]&amp;"-"&amp;M3U[[#This Row],[Q]],STREAM[],6,0),"-")</f>
        <v>-</v>
      </c>
      <c r="L171" t="b">
        <v>1</v>
      </c>
    </row>
    <row r="172" spans="1:12" hidden="1" x14ac:dyDescent="0.55000000000000004">
      <c r="A172" t="s">
        <v>879</v>
      </c>
      <c r="B172" s="2" t="s">
        <v>605</v>
      </c>
      <c r="C172" s="8" t="str">
        <f>IF(ISERROR(VLOOKUP(M3U[[#This Row],[TVGID]],GUIDE[[#All],[TVGID]],1,0)),"✗","✓")</f>
        <v>✓</v>
      </c>
      <c r="D172">
        <v>611</v>
      </c>
      <c r="E172" t="s">
        <v>321</v>
      </c>
      <c r="F17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Celestial Movies</v>
      </c>
      <c r="G172" s="5" t="str">
        <f>IFERROR(IFERROR(VLOOKUP(M3U[[#This Row],[ID]],CHANNEL[#All],4,0),VLOOKUP(M3U[[#This Row],[ID]],CHANNEL_EXT[#All],4,0)),"-")</f>
        <v>https://images.maxstream.tv/sites/default/files/entry/0_vq7m2eeg/landscape_carousel_hdpi.webp</v>
      </c>
      <c r="H172" s="4" t="str">
        <f>IFERROR(IFERROR(VLOOKUP(M3U[[#This Row],[ID]],CHANNEL[#All],3,0),VLOOKUP(M3U[[#This Row],[ID]],CHANNEL_EXT[#All],3,0)),"-")</f>
        <v>Movies and Entertainment</v>
      </c>
      <c r="I172" s="8" t="str">
        <f>IF(ISERROR(VLOOKUP(M3U[[#This Row],[ID]]&amp;"-"&amp;M3U[[#This Row],[Q]],STREAM[[#All],[SID]],1,0)),"✗","✓")</f>
        <v>✗</v>
      </c>
      <c r="J172" t="str">
        <f>IFERROR(VLOOKUP(M3U[[#This Row],[ID]]&amp;"-"&amp;M3U[[#This Row],[Q]],STREAM[],5,0),"-")</f>
        <v>-</v>
      </c>
      <c r="K172" t="str">
        <f>IFERROR(VLOOKUP(M3U[[#This Row],[ID]]&amp;"-"&amp;M3U[[#This Row],[Q]],STREAM[],6,0),"-")</f>
        <v>-</v>
      </c>
      <c r="L172" t="b">
        <v>0</v>
      </c>
    </row>
    <row r="173" spans="1:12" x14ac:dyDescent="0.55000000000000004">
      <c r="A173" t="s">
        <v>879</v>
      </c>
      <c r="B173" s="2" t="s">
        <v>605</v>
      </c>
      <c r="C173" s="8" t="str">
        <f>IF(ISERROR(VLOOKUP(M3U[[#This Row],[TVGID]],GUIDE[[#All],[TVGID]],1,0)),"✗","✓")</f>
        <v>✓</v>
      </c>
      <c r="D173">
        <v>611</v>
      </c>
      <c r="E173" t="s">
        <v>271</v>
      </c>
      <c r="F17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Celestial Movies HD</v>
      </c>
      <c r="G173" s="5" t="str">
        <f>IFERROR(IFERROR(VLOOKUP(M3U[[#This Row],[ID]],CHANNEL[#All],4,0),VLOOKUP(M3U[[#This Row],[ID]],CHANNEL_EXT[#All],4,0)),"-")</f>
        <v>https://images.maxstream.tv/sites/default/files/entry/0_vq7m2eeg/landscape_carousel_hdpi.webp</v>
      </c>
      <c r="H173" s="4" t="str">
        <f>IFERROR(IFERROR(VLOOKUP(M3U[[#This Row],[ID]],CHANNEL[#All],3,0),VLOOKUP(M3U[[#This Row],[ID]],CHANNEL_EXT[#All],3,0)),"-")</f>
        <v>Movies and Entertainment</v>
      </c>
      <c r="I173" s="8" t="str">
        <f>IF(ISERROR(VLOOKUP(M3U[[#This Row],[ID]]&amp;"-"&amp;M3U[[#This Row],[Q]],STREAM[[#All],[SID]],1,0)),"✗","✓")</f>
        <v>✗</v>
      </c>
      <c r="J173" t="str">
        <f>IFERROR(VLOOKUP(M3U[[#This Row],[ID]]&amp;"-"&amp;M3U[[#This Row],[Q]],STREAM[],5,0),"-")</f>
        <v>-</v>
      </c>
      <c r="K173" t="str">
        <f>IFERROR(VLOOKUP(M3U[[#This Row],[ID]]&amp;"-"&amp;M3U[[#This Row],[Q]],STREAM[],6,0),"-")</f>
        <v>-</v>
      </c>
      <c r="L173" t="b">
        <v>1</v>
      </c>
    </row>
    <row r="174" spans="1:12" hidden="1" x14ac:dyDescent="0.55000000000000004">
      <c r="A174" t="s">
        <v>220</v>
      </c>
      <c r="B174" s="2" t="s">
        <v>606</v>
      </c>
      <c r="C174" s="8" t="str">
        <f>IF(ISERROR(VLOOKUP(M3U[[#This Row],[TVGID]],GUIDE[[#All],[TVGID]],1,0)),"✗","✓")</f>
        <v>✓</v>
      </c>
      <c r="D174">
        <v>613</v>
      </c>
      <c r="E174" t="s">
        <v>321</v>
      </c>
      <c r="F17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tvN Movies</v>
      </c>
      <c r="G174" s="5" t="str">
        <f>IFERROR(IFERROR(VLOOKUP(M3U[[#This Row],[ID]],CHANNEL[#All],4,0),VLOOKUP(M3U[[#This Row],[ID]],CHANNEL_EXT[#All],4,0)),"-")</f>
        <v>https://images.maxstream.tv/sites/default/files/entry/0_2ayrv6w3/landscape_carousel_hdpi.webp</v>
      </c>
      <c r="H174" s="4" t="str">
        <f>IFERROR(IFERROR(VLOOKUP(M3U[[#This Row],[ID]],CHANNEL[#All],3,0),VLOOKUP(M3U[[#This Row],[ID]],CHANNEL_EXT[#All],3,0)),"-")</f>
        <v>Movies and Entertainment</v>
      </c>
      <c r="I174" s="8" t="str">
        <f>IF(ISERROR(VLOOKUP(M3U[[#This Row],[ID]]&amp;"-"&amp;M3U[[#This Row],[Q]],STREAM[[#All],[SID]],1,0)),"✗","✓")</f>
        <v>✗</v>
      </c>
      <c r="J174" t="str">
        <f>IFERROR(VLOOKUP(M3U[[#This Row],[ID]]&amp;"-"&amp;M3U[[#This Row],[Q]],STREAM[],5,0),"-")</f>
        <v>-</v>
      </c>
      <c r="K174" t="str">
        <f>IFERROR(VLOOKUP(M3U[[#This Row],[ID]]&amp;"-"&amp;M3U[[#This Row],[Q]],STREAM[],6,0),"-")</f>
        <v>-</v>
      </c>
      <c r="L174" t="b">
        <v>0</v>
      </c>
    </row>
    <row r="175" spans="1:12" x14ac:dyDescent="0.55000000000000004">
      <c r="A175" t="s">
        <v>220</v>
      </c>
      <c r="B175" s="2" t="s">
        <v>606</v>
      </c>
      <c r="C175" s="8" t="str">
        <f>IF(ISERROR(VLOOKUP(M3U[[#This Row],[TVGID]],GUIDE[[#All],[TVGID]],1,0)),"✗","✓")</f>
        <v>✓</v>
      </c>
      <c r="D175">
        <v>613</v>
      </c>
      <c r="E175" t="s">
        <v>271</v>
      </c>
      <c r="F17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tvN Movies HD</v>
      </c>
      <c r="G175" s="5" t="str">
        <f>IFERROR(IFERROR(VLOOKUP(M3U[[#This Row],[ID]],CHANNEL[#All],4,0),VLOOKUP(M3U[[#This Row],[ID]],CHANNEL_EXT[#All],4,0)),"-")</f>
        <v>https://images.maxstream.tv/sites/default/files/entry/0_2ayrv6w3/landscape_carousel_hdpi.webp</v>
      </c>
      <c r="H175" s="4" t="str">
        <f>IFERROR(IFERROR(VLOOKUP(M3U[[#This Row],[ID]],CHANNEL[#All],3,0),VLOOKUP(M3U[[#This Row],[ID]],CHANNEL_EXT[#All],3,0)),"-")</f>
        <v>Movies and Entertainment</v>
      </c>
      <c r="I175" s="8" t="str">
        <f>IF(ISERROR(VLOOKUP(M3U[[#This Row],[ID]]&amp;"-"&amp;M3U[[#This Row],[Q]],STREAM[[#All],[SID]],1,0)),"✗","✓")</f>
        <v>✗</v>
      </c>
      <c r="J175" t="str">
        <f>IFERROR(VLOOKUP(M3U[[#This Row],[ID]]&amp;"-"&amp;M3U[[#This Row],[Q]],STREAM[],5,0),"-")</f>
        <v>-</v>
      </c>
      <c r="K175" t="str">
        <f>IFERROR(VLOOKUP(M3U[[#This Row],[ID]]&amp;"-"&amp;M3U[[#This Row],[Q]],STREAM[],6,0),"-")</f>
        <v>-</v>
      </c>
      <c r="L175" t="b">
        <v>1</v>
      </c>
    </row>
    <row r="176" spans="1:12" x14ac:dyDescent="0.55000000000000004">
      <c r="A176" t="s">
        <v>905</v>
      </c>
      <c r="B176" s="2" t="s">
        <v>607</v>
      </c>
      <c r="C176" s="8" t="str">
        <f>IF(ISERROR(VLOOKUP(M3U[[#This Row],[TVGID]],GUIDE[[#All],[TVGID]],1,0)),"✗","✓")</f>
        <v>✓</v>
      </c>
      <c r="D176">
        <v>614</v>
      </c>
      <c r="E176" t="s">
        <v>321</v>
      </c>
      <c r="F17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Zee Bioskop</v>
      </c>
      <c r="G176" s="5" t="str">
        <f>IFERROR(IFERROR(VLOOKUP(M3U[[#This Row],[ID]],CHANNEL[#All],4,0),VLOOKUP(M3U[[#This Row],[ID]],CHANNEL_EXT[#All],4,0)),"-")</f>
        <v>https://images.maxstream.tv/sites/default/files/entry/0_k6etp5l6/landscape_carousel_hdpi.webp</v>
      </c>
      <c r="H176" s="4" t="str">
        <f>IFERROR(IFERROR(VLOOKUP(M3U[[#This Row],[ID]],CHANNEL[#All],3,0),VLOOKUP(M3U[[#This Row],[ID]],CHANNEL_EXT[#All],3,0)),"-")</f>
        <v>Movies and Entertainment</v>
      </c>
      <c r="I176" s="8" t="str">
        <f>IF(ISERROR(VLOOKUP(M3U[[#This Row],[ID]]&amp;"-"&amp;M3U[[#This Row],[Q]],STREAM[[#All],[SID]],1,0)),"✗","✓")</f>
        <v>✗</v>
      </c>
      <c r="J176" t="str">
        <f>IFERROR(VLOOKUP(M3U[[#This Row],[ID]]&amp;"-"&amp;M3U[[#This Row],[Q]],STREAM[],5,0),"-")</f>
        <v>-</v>
      </c>
      <c r="K176" t="str">
        <f>IFERROR(VLOOKUP(M3U[[#This Row],[ID]]&amp;"-"&amp;M3U[[#This Row],[Q]],STREAM[],6,0),"-")</f>
        <v>-</v>
      </c>
      <c r="L176" t="b">
        <v>1</v>
      </c>
    </row>
    <row r="177" spans="1:12" hidden="1" x14ac:dyDescent="0.55000000000000004">
      <c r="A177" t="s">
        <v>207</v>
      </c>
      <c r="B177" s="2" t="s">
        <v>608</v>
      </c>
      <c r="C177" s="8" t="str">
        <f>IF(ISERROR(VLOOKUP(M3U[[#This Row],[TVGID]],GUIDE[[#All],[TVGID]],1,0)),"✗","✓")</f>
        <v>✓</v>
      </c>
      <c r="D177">
        <v>615</v>
      </c>
      <c r="E177" t="s">
        <v>321</v>
      </c>
      <c r="F17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CinemaWorld</v>
      </c>
      <c r="G177" s="5" t="str">
        <f>IFERROR(IFERROR(VLOOKUP(M3U[[#This Row],[ID]],CHANNEL[#All],4,0),VLOOKUP(M3U[[#This Row],[ID]],CHANNEL_EXT[#All],4,0)),"-")</f>
        <v>https://images.maxstream.tv/sites/default/files/entry/0_s7gzj2we/landscape_carousel_hdpi.webp</v>
      </c>
      <c r="H177" s="4" t="str">
        <f>IFERROR(IFERROR(VLOOKUP(M3U[[#This Row],[ID]],CHANNEL[#All],3,0),VLOOKUP(M3U[[#This Row],[ID]],CHANNEL_EXT[#All],3,0)),"-")</f>
        <v>Movies and Entertainment</v>
      </c>
      <c r="I177" s="8" t="str">
        <f>IF(ISERROR(VLOOKUP(M3U[[#This Row],[ID]]&amp;"-"&amp;M3U[[#This Row],[Q]],STREAM[[#All],[SID]],1,0)),"✗","✓")</f>
        <v>✗</v>
      </c>
      <c r="J177" t="str">
        <f>IFERROR(VLOOKUP(M3U[[#This Row],[ID]]&amp;"-"&amp;M3U[[#This Row],[Q]],STREAM[],5,0),"-")</f>
        <v>-</v>
      </c>
      <c r="K177" t="str">
        <f>IFERROR(VLOOKUP(M3U[[#This Row],[ID]]&amp;"-"&amp;M3U[[#This Row],[Q]],STREAM[],6,0),"-")</f>
        <v>-</v>
      </c>
      <c r="L177" t="b">
        <v>0</v>
      </c>
    </row>
    <row r="178" spans="1:12" x14ac:dyDescent="0.55000000000000004">
      <c r="A178" t="s">
        <v>207</v>
      </c>
      <c r="B178" s="2" t="s">
        <v>608</v>
      </c>
      <c r="C178" s="8" t="str">
        <f>IF(ISERROR(VLOOKUP(M3U[[#This Row],[TVGID]],GUIDE[[#All],[TVGID]],1,0)),"✗","✓")</f>
        <v>✓</v>
      </c>
      <c r="D178">
        <v>615</v>
      </c>
      <c r="E178" t="s">
        <v>271</v>
      </c>
      <c r="F17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CinemaWorld HD</v>
      </c>
      <c r="G178" s="5" t="str">
        <f>IFERROR(IFERROR(VLOOKUP(M3U[[#This Row],[ID]],CHANNEL[#All],4,0),VLOOKUP(M3U[[#This Row],[ID]],CHANNEL_EXT[#All],4,0)),"-")</f>
        <v>https://images.maxstream.tv/sites/default/files/entry/0_s7gzj2we/landscape_carousel_hdpi.webp</v>
      </c>
      <c r="H178" s="4" t="str">
        <f>IFERROR(IFERROR(VLOOKUP(M3U[[#This Row],[ID]],CHANNEL[#All],3,0),VLOOKUP(M3U[[#This Row],[ID]],CHANNEL_EXT[#All],3,0)),"-")</f>
        <v>Movies and Entertainment</v>
      </c>
      <c r="I178" s="8" t="str">
        <f>IF(ISERROR(VLOOKUP(M3U[[#This Row],[ID]]&amp;"-"&amp;M3U[[#This Row],[Q]],STREAM[[#All],[SID]],1,0)),"✗","✓")</f>
        <v>✗</v>
      </c>
      <c r="J178" t="str">
        <f>IFERROR(VLOOKUP(M3U[[#This Row],[ID]]&amp;"-"&amp;M3U[[#This Row],[Q]],STREAM[],5,0),"-")</f>
        <v>-</v>
      </c>
      <c r="K178" t="str">
        <f>IFERROR(VLOOKUP(M3U[[#This Row],[ID]]&amp;"-"&amp;M3U[[#This Row],[Q]],STREAM[],6,0),"-")</f>
        <v>-</v>
      </c>
      <c r="L178" t="b">
        <v>1</v>
      </c>
    </row>
    <row r="179" spans="1:12" hidden="1" x14ac:dyDescent="0.55000000000000004">
      <c r="A179" t="s">
        <v>209</v>
      </c>
      <c r="B179" s="2" t="s">
        <v>609</v>
      </c>
      <c r="C179" s="8" t="str">
        <f>IF(ISERROR(VLOOKUP(M3U[[#This Row],[TVGID]],GUIDE[[#All],[TVGID]],1,0)),"✗","✓")</f>
        <v>✓</v>
      </c>
      <c r="D179">
        <v>617</v>
      </c>
      <c r="E179" t="s">
        <v>321</v>
      </c>
      <c r="F17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Galaxy</v>
      </c>
      <c r="G179" s="5" t="str">
        <f>IFERROR(IFERROR(VLOOKUP(M3U[[#This Row],[ID]],CHANNEL[#All],4,0),VLOOKUP(M3U[[#This Row],[ID]],CHANNEL_EXT[#All],4,0)),"-")</f>
        <v>https://images.maxstream.tv/sites/default/files/entry/0_anqaquwl/landscape_carousel_hdpi.webp</v>
      </c>
      <c r="H179" s="4" t="str">
        <f>IFERROR(IFERROR(VLOOKUP(M3U[[#This Row],[ID]],CHANNEL[#All],3,0),VLOOKUP(M3U[[#This Row],[ID]],CHANNEL_EXT[#All],3,0)),"-")</f>
        <v>Movies and Entertainment</v>
      </c>
      <c r="I179" s="8" t="str">
        <f>IF(ISERROR(VLOOKUP(M3U[[#This Row],[ID]]&amp;"-"&amp;M3U[[#This Row],[Q]],STREAM[[#All],[SID]],1,0)),"✗","✓")</f>
        <v>✗</v>
      </c>
      <c r="J179" t="str">
        <f>IFERROR(VLOOKUP(M3U[[#This Row],[ID]]&amp;"-"&amp;M3U[[#This Row],[Q]],STREAM[],5,0),"-")</f>
        <v>-</v>
      </c>
      <c r="K179" t="str">
        <f>IFERROR(VLOOKUP(M3U[[#This Row],[ID]]&amp;"-"&amp;M3U[[#This Row],[Q]],STREAM[],6,0),"-")</f>
        <v>-</v>
      </c>
      <c r="L179" t="b">
        <v>0</v>
      </c>
    </row>
    <row r="180" spans="1:12" x14ac:dyDescent="0.55000000000000004">
      <c r="A180" t="s">
        <v>209</v>
      </c>
      <c r="B180" s="2" t="s">
        <v>609</v>
      </c>
      <c r="C180" s="8" t="str">
        <f>IF(ISERROR(VLOOKUP(M3U[[#This Row],[TVGID]],GUIDE[[#All],[TVGID]],1,0)),"✗","✓")</f>
        <v>✓</v>
      </c>
      <c r="D180">
        <v>617</v>
      </c>
      <c r="E180" t="s">
        <v>271</v>
      </c>
      <c r="F18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Galaxy HD</v>
      </c>
      <c r="G180" s="5" t="str">
        <f>IFERROR(IFERROR(VLOOKUP(M3U[[#This Row],[ID]],CHANNEL[#All],4,0),VLOOKUP(M3U[[#This Row],[ID]],CHANNEL_EXT[#All],4,0)),"-")</f>
        <v>https://images.maxstream.tv/sites/default/files/entry/0_anqaquwl/landscape_carousel_hdpi.webp</v>
      </c>
      <c r="H180" s="4" t="str">
        <f>IFERROR(IFERROR(VLOOKUP(M3U[[#This Row],[ID]],CHANNEL[#All],3,0),VLOOKUP(M3U[[#This Row],[ID]],CHANNEL_EXT[#All],3,0)),"-")</f>
        <v>Movies and Entertainment</v>
      </c>
      <c r="I180" s="8" t="str">
        <f>IF(ISERROR(VLOOKUP(M3U[[#This Row],[ID]]&amp;"-"&amp;M3U[[#This Row],[Q]],STREAM[[#All],[SID]],1,0)),"✗","✓")</f>
        <v>✗</v>
      </c>
      <c r="J180" t="str">
        <f>IFERROR(VLOOKUP(M3U[[#This Row],[ID]]&amp;"-"&amp;M3U[[#This Row],[Q]],STREAM[],5,0),"-")</f>
        <v>-</v>
      </c>
      <c r="K180" t="str">
        <f>IFERROR(VLOOKUP(M3U[[#This Row],[ID]]&amp;"-"&amp;M3U[[#This Row],[Q]],STREAM[],6,0),"-")</f>
        <v>-</v>
      </c>
      <c r="L180" t="b">
        <v>1</v>
      </c>
    </row>
    <row r="181" spans="1:12" x14ac:dyDescent="0.55000000000000004">
      <c r="A181" t="s">
        <v>204</v>
      </c>
      <c r="B181" s="2" t="s">
        <v>610</v>
      </c>
      <c r="C181" s="8" t="str">
        <f>IF(ISERROR(VLOOKUP(M3U[[#This Row],[TVGID]],GUIDE[[#All],[TVGID]],1,0)),"✗","✓")</f>
        <v>✓</v>
      </c>
      <c r="D181">
        <v>618</v>
      </c>
      <c r="E181" t="s">
        <v>321</v>
      </c>
      <c r="F18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Bioskop Indonesia</v>
      </c>
      <c r="G181" s="5" t="str">
        <f>IFERROR(IFERROR(VLOOKUP(M3U[[#This Row],[ID]],CHANNEL[#All],4,0),VLOOKUP(M3U[[#This Row],[ID]],CHANNEL_EXT[#All],4,0)),"-")</f>
        <v>https://images.maxstream.tv/sites/default/files/entry/0_urq0w0mp/landscape_carousel_hdpi.webp</v>
      </c>
      <c r="H181" s="4" t="str">
        <f>IFERROR(IFERROR(VLOOKUP(M3U[[#This Row],[ID]],CHANNEL[#All],3,0),VLOOKUP(M3U[[#This Row],[ID]],CHANNEL_EXT[#All],3,0)),"-")</f>
        <v>Movies and Entertainment</v>
      </c>
      <c r="I181" s="8" t="str">
        <f>IF(ISERROR(VLOOKUP(M3U[[#This Row],[ID]]&amp;"-"&amp;M3U[[#This Row],[Q]],STREAM[[#All],[SID]],1,0)),"✗","✓")</f>
        <v>✗</v>
      </c>
      <c r="J181" t="str">
        <f>IFERROR(VLOOKUP(M3U[[#This Row],[ID]]&amp;"-"&amp;M3U[[#This Row],[Q]],STREAM[],5,0),"-")</f>
        <v>-</v>
      </c>
      <c r="K181" t="str">
        <f>IFERROR(VLOOKUP(M3U[[#This Row],[ID]]&amp;"-"&amp;M3U[[#This Row],[Q]],STREAM[],6,0),"-")</f>
        <v>-</v>
      </c>
      <c r="L181" t="b">
        <v>1</v>
      </c>
    </row>
    <row r="182" spans="1:12" hidden="1" x14ac:dyDescent="0.55000000000000004">
      <c r="A182" t="s">
        <v>208</v>
      </c>
      <c r="B182" s="2" t="s">
        <v>611</v>
      </c>
      <c r="C182" s="8" t="str">
        <f>IF(ISERROR(VLOOKUP(M3U[[#This Row],[TVGID]],GUIDE[[#All],[TVGID]],1,0)),"✗","✓")</f>
        <v>✗</v>
      </c>
      <c r="D182">
        <v>619</v>
      </c>
      <c r="E182" t="s">
        <v>321</v>
      </c>
      <c r="F18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Flik</v>
      </c>
      <c r="G182" s="5" t="str">
        <f>IFERROR(IFERROR(VLOOKUP(M3U[[#This Row],[ID]],CHANNEL[#All],4,0),VLOOKUP(M3U[[#This Row],[ID]],CHANNEL_EXT[#All],4,0)),"-")</f>
        <v>https://images.maxstream.tv/sites/default/files/entry/0_y6gkb9ud/landscape_carousel_hdpi.webp</v>
      </c>
      <c r="H182" s="4" t="str">
        <f>IFERROR(IFERROR(VLOOKUP(M3U[[#This Row],[ID]],CHANNEL[#All],3,0),VLOOKUP(M3U[[#This Row],[ID]],CHANNEL_EXT[#All],3,0)),"-")</f>
        <v>Movies and Entertainment</v>
      </c>
      <c r="I182" s="8" t="str">
        <f>IF(ISERROR(VLOOKUP(M3U[[#This Row],[ID]]&amp;"-"&amp;M3U[[#This Row],[Q]],STREAM[[#All],[SID]],1,0)),"✗","✓")</f>
        <v>✗</v>
      </c>
      <c r="J182" t="str">
        <f>IFERROR(VLOOKUP(M3U[[#This Row],[ID]]&amp;"-"&amp;M3U[[#This Row],[Q]],STREAM[],5,0),"-")</f>
        <v>-</v>
      </c>
      <c r="K182" t="str">
        <f>IFERROR(VLOOKUP(M3U[[#This Row],[ID]]&amp;"-"&amp;M3U[[#This Row],[Q]],STREAM[],6,0),"-")</f>
        <v>-</v>
      </c>
      <c r="L182" t="b">
        <v>0</v>
      </c>
    </row>
    <row r="183" spans="1:12" x14ac:dyDescent="0.55000000000000004">
      <c r="A183" t="s">
        <v>208</v>
      </c>
      <c r="B183" s="2" t="s">
        <v>611</v>
      </c>
      <c r="C183" s="8" t="str">
        <f>IF(ISERROR(VLOOKUP(M3U[[#This Row],[TVGID]],GUIDE[[#All],[TVGID]],1,0)),"✗","✓")</f>
        <v>✗</v>
      </c>
      <c r="D183">
        <v>619</v>
      </c>
      <c r="E183" t="s">
        <v>271</v>
      </c>
      <c r="F18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Flik HD</v>
      </c>
      <c r="G183" s="5" t="str">
        <f>IFERROR(IFERROR(VLOOKUP(M3U[[#This Row],[ID]],CHANNEL[#All],4,0),VLOOKUP(M3U[[#This Row],[ID]],CHANNEL_EXT[#All],4,0)),"-")</f>
        <v>https://images.maxstream.tv/sites/default/files/entry/0_y6gkb9ud/landscape_carousel_hdpi.webp</v>
      </c>
      <c r="H183" s="4" t="str">
        <f>IFERROR(IFERROR(VLOOKUP(M3U[[#This Row],[ID]],CHANNEL[#All],3,0),VLOOKUP(M3U[[#This Row],[ID]],CHANNEL_EXT[#All],3,0)),"-")</f>
        <v>Movies and Entertainment</v>
      </c>
      <c r="I183" s="8" t="str">
        <f>IF(ISERROR(VLOOKUP(M3U[[#This Row],[ID]]&amp;"-"&amp;M3U[[#This Row],[Q]],STREAM[[#All],[SID]],1,0)),"✗","✓")</f>
        <v>✗</v>
      </c>
      <c r="J183" t="str">
        <f>IFERROR(VLOOKUP(M3U[[#This Row],[ID]]&amp;"-"&amp;M3U[[#This Row],[Q]],STREAM[],5,0),"-")</f>
        <v>-</v>
      </c>
      <c r="K183" t="str">
        <f>IFERROR(VLOOKUP(M3U[[#This Row],[ID]]&amp;"-"&amp;M3U[[#This Row],[Q]],STREAM[],6,0),"-")</f>
        <v>-</v>
      </c>
      <c r="L183" t="b">
        <v>1</v>
      </c>
    </row>
    <row r="184" spans="1:12" hidden="1" x14ac:dyDescent="0.55000000000000004">
      <c r="A184" t="s">
        <v>213</v>
      </c>
      <c r="B184" s="2" t="s">
        <v>612</v>
      </c>
      <c r="C184" s="8" t="str">
        <f>IF(ISERROR(VLOOKUP(M3U[[#This Row],[TVGID]],GUIDE[[#All],[TVGID]],1,0)),"✗","✓")</f>
        <v>✓</v>
      </c>
      <c r="D184">
        <v>620</v>
      </c>
      <c r="E184" t="s">
        <v>321</v>
      </c>
      <c r="F18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IMC</v>
      </c>
      <c r="G184" s="5" t="str">
        <f>IFERROR(IFERROR(VLOOKUP(M3U[[#This Row],[ID]],CHANNEL[#All],4,0),VLOOKUP(M3U[[#This Row],[ID]],CHANNEL_EXT[#All],4,0)),"-")</f>
        <v>https://images.maxstream.tv/sites/default/files/entry/0_blvd5qf0/landscape_carousel_hdpi.webp</v>
      </c>
      <c r="H184" s="4" t="str">
        <f>IFERROR(IFERROR(VLOOKUP(M3U[[#This Row],[ID]],CHANNEL[#All],3,0),VLOOKUP(M3U[[#This Row],[ID]],CHANNEL_EXT[#All],3,0)),"-")</f>
        <v>Movies and Entertainment</v>
      </c>
      <c r="I184" s="8" t="str">
        <f>IF(ISERROR(VLOOKUP(M3U[[#This Row],[ID]]&amp;"-"&amp;M3U[[#This Row],[Q]],STREAM[[#All],[SID]],1,0)),"✗","✓")</f>
        <v>✗</v>
      </c>
      <c r="J184" t="str">
        <f>IFERROR(VLOOKUP(M3U[[#This Row],[ID]]&amp;"-"&amp;M3U[[#This Row],[Q]],STREAM[],5,0),"-")</f>
        <v>-</v>
      </c>
      <c r="K184" t="str">
        <f>IFERROR(VLOOKUP(M3U[[#This Row],[ID]]&amp;"-"&amp;M3U[[#This Row],[Q]],STREAM[],6,0),"-")</f>
        <v>-</v>
      </c>
      <c r="L184" t="b">
        <v>0</v>
      </c>
    </row>
    <row r="185" spans="1:12" x14ac:dyDescent="0.55000000000000004">
      <c r="A185" t="s">
        <v>213</v>
      </c>
      <c r="B185" s="2" t="s">
        <v>612</v>
      </c>
      <c r="C185" s="8" t="str">
        <f>IF(ISERROR(VLOOKUP(M3U[[#This Row],[TVGID]],GUIDE[[#All],[TVGID]],1,0)),"✗","✓")</f>
        <v>✓</v>
      </c>
      <c r="D185">
        <v>620</v>
      </c>
      <c r="E185" t="s">
        <v>271</v>
      </c>
      <c r="F18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IMC HD</v>
      </c>
      <c r="G185" s="5" t="str">
        <f>IFERROR(IFERROR(VLOOKUP(M3U[[#This Row],[ID]],CHANNEL[#All],4,0),VLOOKUP(M3U[[#This Row],[ID]],CHANNEL_EXT[#All],4,0)),"-")</f>
        <v>https://images.maxstream.tv/sites/default/files/entry/0_blvd5qf0/landscape_carousel_hdpi.webp</v>
      </c>
      <c r="H185" s="4" t="str">
        <f>IFERROR(IFERROR(VLOOKUP(M3U[[#This Row],[ID]],CHANNEL[#All],3,0),VLOOKUP(M3U[[#This Row],[ID]],CHANNEL_EXT[#All],3,0)),"-")</f>
        <v>Movies and Entertainment</v>
      </c>
      <c r="I185" s="8" t="str">
        <f>IF(ISERROR(VLOOKUP(M3U[[#This Row],[ID]]&amp;"-"&amp;M3U[[#This Row],[Q]],STREAM[[#All],[SID]],1,0)),"✗","✓")</f>
        <v>✗</v>
      </c>
      <c r="J185" t="str">
        <f>IFERROR(VLOOKUP(M3U[[#This Row],[ID]]&amp;"-"&amp;M3U[[#This Row],[Q]],STREAM[],5,0),"-")</f>
        <v>-</v>
      </c>
      <c r="K185" t="str">
        <f>IFERROR(VLOOKUP(M3U[[#This Row],[ID]]&amp;"-"&amp;M3U[[#This Row],[Q]],STREAM[],6,0),"-")</f>
        <v>-</v>
      </c>
      <c r="L185" t="b">
        <v>1</v>
      </c>
    </row>
    <row r="186" spans="1:12" hidden="1" x14ac:dyDescent="0.55000000000000004">
      <c r="A186" t="s">
        <v>210</v>
      </c>
      <c r="B186" s="2" t="s">
        <v>613</v>
      </c>
      <c r="C186" s="8" t="str">
        <f>IF(ISERROR(VLOOKUP(M3U[[#This Row],[TVGID]],GUIDE[[#All],[TVGID]],1,0)),"✗","✓")</f>
        <v>✓</v>
      </c>
      <c r="D186">
        <v>621</v>
      </c>
      <c r="E186" t="s">
        <v>321</v>
      </c>
      <c r="F18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Galaxy Premium</v>
      </c>
      <c r="G186" s="5" t="str">
        <f>IFERROR(IFERROR(VLOOKUP(M3U[[#This Row],[ID]],CHANNEL[#All],4,0),VLOOKUP(M3U[[#This Row],[ID]],CHANNEL_EXT[#All],4,0)),"-")</f>
        <v>https://images.maxstream.tv/sites/default/files/entry/0_menqjsva/landscape_carousel_hdpi.webp</v>
      </c>
      <c r="H186" s="4" t="str">
        <f>IFERROR(IFERROR(VLOOKUP(M3U[[#This Row],[ID]],CHANNEL[#All],3,0),VLOOKUP(M3U[[#This Row],[ID]],CHANNEL_EXT[#All],3,0)),"-")</f>
        <v>Movies and Entertainment</v>
      </c>
      <c r="I186" s="8" t="str">
        <f>IF(ISERROR(VLOOKUP(M3U[[#This Row],[ID]]&amp;"-"&amp;M3U[[#This Row],[Q]],STREAM[[#All],[SID]],1,0)),"✗","✓")</f>
        <v>✗</v>
      </c>
      <c r="J186" t="str">
        <f>IFERROR(VLOOKUP(M3U[[#This Row],[ID]]&amp;"-"&amp;M3U[[#This Row],[Q]],STREAM[],5,0),"-")</f>
        <v>-</v>
      </c>
      <c r="K186" t="str">
        <f>IFERROR(VLOOKUP(M3U[[#This Row],[ID]]&amp;"-"&amp;M3U[[#This Row],[Q]],STREAM[],6,0),"-")</f>
        <v>-</v>
      </c>
      <c r="L186" t="b">
        <v>0</v>
      </c>
    </row>
    <row r="187" spans="1:12" x14ac:dyDescent="0.55000000000000004">
      <c r="A187" t="s">
        <v>210</v>
      </c>
      <c r="B187" s="2" t="s">
        <v>613</v>
      </c>
      <c r="C187" s="8" t="str">
        <f>IF(ISERROR(VLOOKUP(M3U[[#This Row],[TVGID]],GUIDE[[#All],[TVGID]],1,0)),"✗","✓")</f>
        <v>✓</v>
      </c>
      <c r="D187">
        <v>621</v>
      </c>
      <c r="E187" t="s">
        <v>271</v>
      </c>
      <c r="F18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Galaxy Premium HD</v>
      </c>
      <c r="G187" s="5" t="str">
        <f>IFERROR(IFERROR(VLOOKUP(M3U[[#This Row],[ID]],CHANNEL[#All],4,0),VLOOKUP(M3U[[#This Row],[ID]],CHANNEL_EXT[#All],4,0)),"-")</f>
        <v>https://images.maxstream.tv/sites/default/files/entry/0_menqjsva/landscape_carousel_hdpi.webp</v>
      </c>
      <c r="H187" s="4" t="str">
        <f>IFERROR(IFERROR(VLOOKUP(M3U[[#This Row],[ID]],CHANNEL[#All],3,0),VLOOKUP(M3U[[#This Row],[ID]],CHANNEL_EXT[#All],3,0)),"-")</f>
        <v>Movies and Entertainment</v>
      </c>
      <c r="I187" s="8" t="str">
        <f>IF(ISERROR(VLOOKUP(M3U[[#This Row],[ID]]&amp;"-"&amp;M3U[[#This Row],[Q]],STREAM[[#All],[SID]],1,0)),"✗","✓")</f>
        <v>✗</v>
      </c>
      <c r="J187" t="str">
        <f>IFERROR(VLOOKUP(M3U[[#This Row],[ID]]&amp;"-"&amp;M3U[[#This Row],[Q]],STREAM[],5,0),"-")</f>
        <v>-</v>
      </c>
      <c r="K187" t="str">
        <f>IFERROR(VLOOKUP(M3U[[#This Row],[ID]]&amp;"-"&amp;M3U[[#This Row],[Q]],STREAM[],6,0),"-")</f>
        <v>-</v>
      </c>
      <c r="L187" t="b">
        <v>1</v>
      </c>
    </row>
    <row r="188" spans="1:12" x14ac:dyDescent="0.55000000000000004">
      <c r="A188" t="s">
        <v>790</v>
      </c>
      <c r="B188" s="2" t="s">
        <v>678</v>
      </c>
      <c r="C188" s="8" t="str">
        <f>IF(ISERROR(VLOOKUP(M3U[[#This Row],[TVGID]],GUIDE[[#All],[TVGID]],1,0)),"✗","✓")</f>
        <v>✓</v>
      </c>
      <c r="D188">
        <v>700</v>
      </c>
      <c r="E188" t="s">
        <v>271</v>
      </c>
      <c r="F18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MAXSports HD</v>
      </c>
      <c r="G188" s="5" t="str">
        <f>IFERROR(IFERROR(VLOOKUP(M3U[[#This Row],[ID]],CHANNEL[#All],4,0),VLOOKUP(M3U[[#This Row],[ID]],CHANNEL_EXT[#All],4,0)),"-")</f>
        <v>https://images.maxstream.tv/sites/default/files/entry/0_1u20u1ok/landscape_carousel_hdpi.webp</v>
      </c>
      <c r="H188" s="4" t="str">
        <f>IFERROR(IFERROR(VLOOKUP(M3U[[#This Row],[ID]],CHANNEL[#All],3,0),VLOOKUP(M3U[[#This Row],[ID]],CHANNEL_EXT[#All],3,0)),"-")</f>
        <v>Sports Channel</v>
      </c>
      <c r="I188" s="8" t="str">
        <f>IF(ISERROR(VLOOKUP(M3U[[#This Row],[ID]]&amp;"-"&amp;M3U[[#This Row],[Q]],STREAM[[#All],[SID]],1,0)),"✗","✓")</f>
        <v>✓</v>
      </c>
      <c r="J188" t="str">
        <f>IFERROR(VLOOKUP(M3U[[#This Row],[ID]]&amp;"-"&amp;M3U[[#This Row],[Q]],STREAM[],5,0),"-")</f>
        <v>239.1.2.59</v>
      </c>
      <c r="K188">
        <f>IFERROR(VLOOKUP(M3U[[#This Row],[ID]]&amp;"-"&amp;M3U[[#This Row],[Q]],STREAM[],6,0),"-")</f>
        <v>8209</v>
      </c>
      <c r="L188" t="b">
        <v>1</v>
      </c>
    </row>
    <row r="189" spans="1:12" hidden="1" x14ac:dyDescent="0.55000000000000004">
      <c r="A189" t="s">
        <v>843</v>
      </c>
      <c r="B189" s="2" t="s">
        <v>614</v>
      </c>
      <c r="C189" s="8" t="str">
        <f>IF(ISERROR(VLOOKUP(M3U[[#This Row],[TVGID]],GUIDE[[#All],[TVGID]],1,0)),"✗","✓")</f>
        <v>✓</v>
      </c>
      <c r="D189">
        <v>701</v>
      </c>
      <c r="E189" t="s">
        <v>321</v>
      </c>
      <c r="F18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SPOTV</v>
      </c>
      <c r="G189" s="5" t="str">
        <f>IFERROR(IFERROR(VLOOKUP(M3U[[#This Row],[ID]],CHANNEL[#All],4,0),VLOOKUP(M3U[[#This Row],[ID]],CHANNEL_EXT[#All],4,0)),"-")</f>
        <v>https://images.maxstream.tv/sites/default/files/entry/0_e9m9jzif/landscape_carousel_hdpi.webp</v>
      </c>
      <c r="H189" s="4" t="str">
        <f>IFERROR(IFERROR(VLOOKUP(M3U[[#This Row],[ID]],CHANNEL[#All],3,0),VLOOKUP(M3U[[#This Row],[ID]],CHANNEL_EXT[#All],3,0)),"-")</f>
        <v>Sports Channel</v>
      </c>
      <c r="I189" s="8" t="str">
        <f>IF(ISERROR(VLOOKUP(M3U[[#This Row],[ID]]&amp;"-"&amp;M3U[[#This Row],[Q]],STREAM[[#All],[SID]],1,0)),"✗","✓")</f>
        <v>✗</v>
      </c>
      <c r="J189" t="str">
        <f>IFERROR(VLOOKUP(M3U[[#This Row],[ID]]&amp;"-"&amp;M3U[[#This Row],[Q]],STREAM[],5,0),"-")</f>
        <v>-</v>
      </c>
      <c r="K189" t="str">
        <f>IFERROR(VLOOKUP(M3U[[#This Row],[ID]]&amp;"-"&amp;M3U[[#This Row],[Q]],STREAM[],6,0),"-")</f>
        <v>-</v>
      </c>
      <c r="L189" t="b">
        <v>0</v>
      </c>
    </row>
    <row r="190" spans="1:12" x14ac:dyDescent="0.55000000000000004">
      <c r="A190" t="s">
        <v>843</v>
      </c>
      <c r="B190" s="2" t="s">
        <v>614</v>
      </c>
      <c r="C190" s="8" t="str">
        <f>IF(ISERROR(VLOOKUP(M3U[[#This Row],[TVGID]],GUIDE[[#All],[TVGID]],1,0)),"✗","✓")</f>
        <v>✓</v>
      </c>
      <c r="D190">
        <v>701</v>
      </c>
      <c r="E190" t="s">
        <v>271</v>
      </c>
      <c r="F19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SPOTV HD</v>
      </c>
      <c r="G190" s="5" t="str">
        <f>IFERROR(IFERROR(VLOOKUP(M3U[[#This Row],[ID]],CHANNEL[#All],4,0),VLOOKUP(M3U[[#This Row],[ID]],CHANNEL_EXT[#All],4,0)),"-")</f>
        <v>https://images.maxstream.tv/sites/default/files/entry/0_e9m9jzif/landscape_carousel_hdpi.webp</v>
      </c>
      <c r="H190" s="4" t="str">
        <f>IFERROR(IFERROR(VLOOKUP(M3U[[#This Row],[ID]],CHANNEL[#All],3,0),VLOOKUP(M3U[[#This Row],[ID]],CHANNEL_EXT[#All],3,0)),"-")</f>
        <v>Sports Channel</v>
      </c>
      <c r="I190" s="8" t="str">
        <f>IF(ISERROR(VLOOKUP(M3U[[#This Row],[ID]]&amp;"-"&amp;M3U[[#This Row],[Q]],STREAM[[#All],[SID]],1,0)),"✗","✓")</f>
        <v>✗</v>
      </c>
      <c r="J190" t="str">
        <f>IFERROR(VLOOKUP(M3U[[#This Row],[ID]]&amp;"-"&amp;M3U[[#This Row],[Q]],STREAM[],5,0),"-")</f>
        <v>-</v>
      </c>
      <c r="K190" t="str">
        <f>IFERROR(VLOOKUP(M3U[[#This Row],[ID]]&amp;"-"&amp;M3U[[#This Row],[Q]],STREAM[],6,0),"-")</f>
        <v>-</v>
      </c>
      <c r="L190" t="b">
        <v>1</v>
      </c>
    </row>
    <row r="191" spans="1:12" hidden="1" x14ac:dyDescent="0.55000000000000004">
      <c r="A191" t="s">
        <v>900</v>
      </c>
      <c r="B191" s="2" t="s">
        <v>615</v>
      </c>
      <c r="C191" s="8" t="str">
        <f>IF(ISERROR(VLOOKUP(M3U[[#This Row],[TVGID]],GUIDE[[#All],[TVGID]],1,0)),"✗","✓")</f>
        <v>✓</v>
      </c>
      <c r="D191">
        <v>702</v>
      </c>
      <c r="E191" t="s">
        <v>321</v>
      </c>
      <c r="F19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SPOTV 2</v>
      </c>
      <c r="G191" s="5" t="str">
        <f>IFERROR(IFERROR(VLOOKUP(M3U[[#This Row],[ID]],CHANNEL[#All],4,0),VLOOKUP(M3U[[#This Row],[ID]],CHANNEL_EXT[#All],4,0)),"-")</f>
        <v>https://images.maxstream.tv/sites/default/files/entry/0_mubcipck/landscape_carousel_hdpi.webp</v>
      </c>
      <c r="H191" s="4" t="str">
        <f>IFERROR(IFERROR(VLOOKUP(M3U[[#This Row],[ID]],CHANNEL[#All],3,0),VLOOKUP(M3U[[#This Row],[ID]],CHANNEL_EXT[#All],3,0)),"-")</f>
        <v>Sports Channel</v>
      </c>
      <c r="I191" s="8" t="str">
        <f>IF(ISERROR(VLOOKUP(M3U[[#This Row],[ID]]&amp;"-"&amp;M3U[[#This Row],[Q]],STREAM[[#All],[SID]],1,0)),"✗","✓")</f>
        <v>✗</v>
      </c>
      <c r="J191" t="str">
        <f>IFERROR(VLOOKUP(M3U[[#This Row],[ID]]&amp;"-"&amp;M3U[[#This Row],[Q]],STREAM[],5,0),"-")</f>
        <v>-</v>
      </c>
      <c r="K191" t="str">
        <f>IFERROR(VLOOKUP(M3U[[#This Row],[ID]]&amp;"-"&amp;M3U[[#This Row],[Q]],STREAM[],6,0),"-")</f>
        <v>-</v>
      </c>
      <c r="L191" t="b">
        <v>0</v>
      </c>
    </row>
    <row r="192" spans="1:12" x14ac:dyDescent="0.55000000000000004">
      <c r="A192" t="s">
        <v>900</v>
      </c>
      <c r="B192" s="2" t="s">
        <v>615</v>
      </c>
      <c r="C192" s="8" t="str">
        <f>IF(ISERROR(VLOOKUP(M3U[[#This Row],[TVGID]],GUIDE[[#All],[TVGID]],1,0)),"✗","✓")</f>
        <v>✓</v>
      </c>
      <c r="D192">
        <v>702</v>
      </c>
      <c r="E192" t="s">
        <v>271</v>
      </c>
      <c r="F19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SPOTV 2 HD</v>
      </c>
      <c r="G192" s="5" t="str">
        <f>IFERROR(IFERROR(VLOOKUP(M3U[[#This Row],[ID]],CHANNEL[#All],4,0),VLOOKUP(M3U[[#This Row],[ID]],CHANNEL_EXT[#All],4,0)),"-")</f>
        <v>https://images.maxstream.tv/sites/default/files/entry/0_mubcipck/landscape_carousel_hdpi.webp</v>
      </c>
      <c r="H192" s="4" t="str">
        <f>IFERROR(IFERROR(VLOOKUP(M3U[[#This Row],[ID]],CHANNEL[#All],3,0),VLOOKUP(M3U[[#This Row],[ID]],CHANNEL_EXT[#All],3,0)),"-")</f>
        <v>Sports Channel</v>
      </c>
      <c r="I192" s="8" t="str">
        <f>IF(ISERROR(VLOOKUP(M3U[[#This Row],[ID]]&amp;"-"&amp;M3U[[#This Row],[Q]],STREAM[[#All],[SID]],1,0)),"✗","✓")</f>
        <v>✗</v>
      </c>
      <c r="J192" t="str">
        <f>IFERROR(VLOOKUP(M3U[[#This Row],[ID]]&amp;"-"&amp;M3U[[#This Row],[Q]],STREAM[],5,0),"-")</f>
        <v>-</v>
      </c>
      <c r="K192" t="str">
        <f>IFERROR(VLOOKUP(M3U[[#This Row],[ID]]&amp;"-"&amp;M3U[[#This Row],[Q]],STREAM[],6,0),"-")</f>
        <v>-</v>
      </c>
      <c r="L192" t="b">
        <v>1</v>
      </c>
    </row>
    <row r="193" spans="1:12" hidden="1" x14ac:dyDescent="0.55000000000000004">
      <c r="A193" t="s">
        <v>886</v>
      </c>
      <c r="B193" s="2" t="s">
        <v>616</v>
      </c>
      <c r="C193" s="8" t="str">
        <f>IF(ISERROR(VLOOKUP(M3U[[#This Row],[TVGID]],GUIDE[[#All],[TVGID]],1,0)),"✗","✓")</f>
        <v>✓</v>
      </c>
      <c r="D193">
        <v>704</v>
      </c>
      <c r="E193" t="s">
        <v>321</v>
      </c>
      <c r="F19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Fight Sports</v>
      </c>
      <c r="G193" s="5" t="str">
        <f>IFERROR(IFERROR(VLOOKUP(M3U[[#This Row],[ID]],CHANNEL[#All],4,0),VLOOKUP(M3U[[#This Row],[ID]],CHANNEL_EXT[#All],4,0)),"-")</f>
        <v>https://images.maxstream.tv/sites/default/files/entry/0_chy9zuqn/landscape_carousel_hdpi.webp</v>
      </c>
      <c r="H193" s="4" t="str">
        <f>IFERROR(IFERROR(VLOOKUP(M3U[[#This Row],[ID]],CHANNEL[#All],3,0),VLOOKUP(M3U[[#This Row],[ID]],CHANNEL_EXT[#All],3,0)),"-")</f>
        <v>Sports Channel</v>
      </c>
      <c r="I193" s="8" t="str">
        <f>IF(ISERROR(VLOOKUP(M3U[[#This Row],[ID]]&amp;"-"&amp;M3U[[#This Row],[Q]],STREAM[[#All],[SID]],1,0)),"✗","✓")</f>
        <v>✗</v>
      </c>
      <c r="J193" t="str">
        <f>IFERROR(VLOOKUP(M3U[[#This Row],[ID]]&amp;"-"&amp;M3U[[#This Row],[Q]],STREAM[],5,0),"-")</f>
        <v>-</v>
      </c>
      <c r="K193" t="str">
        <f>IFERROR(VLOOKUP(M3U[[#This Row],[ID]]&amp;"-"&amp;M3U[[#This Row],[Q]],STREAM[],6,0),"-")</f>
        <v>-</v>
      </c>
      <c r="L193" t="b">
        <v>0</v>
      </c>
    </row>
    <row r="194" spans="1:12" x14ac:dyDescent="0.55000000000000004">
      <c r="A194" t="s">
        <v>886</v>
      </c>
      <c r="B194" s="2" t="s">
        <v>616</v>
      </c>
      <c r="C194" s="8" t="str">
        <f>IF(ISERROR(VLOOKUP(M3U[[#This Row],[TVGID]],GUIDE[[#All],[TVGID]],1,0)),"✗","✓")</f>
        <v>✓</v>
      </c>
      <c r="D194">
        <v>704</v>
      </c>
      <c r="E194" t="s">
        <v>271</v>
      </c>
      <c r="F19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Fight Sports HD</v>
      </c>
      <c r="G194" s="5" t="str">
        <f>IFERROR(IFERROR(VLOOKUP(M3U[[#This Row],[ID]],CHANNEL[#All],4,0),VLOOKUP(M3U[[#This Row],[ID]],CHANNEL_EXT[#All],4,0)),"-")</f>
        <v>https://images.maxstream.tv/sites/default/files/entry/0_chy9zuqn/landscape_carousel_hdpi.webp</v>
      </c>
      <c r="H194" s="4" t="str">
        <f>IFERROR(IFERROR(VLOOKUP(M3U[[#This Row],[ID]],CHANNEL[#All],3,0),VLOOKUP(M3U[[#This Row],[ID]],CHANNEL_EXT[#All],3,0)),"-")</f>
        <v>Sports Channel</v>
      </c>
      <c r="I194" s="8" t="str">
        <f>IF(ISERROR(VLOOKUP(M3U[[#This Row],[ID]]&amp;"-"&amp;M3U[[#This Row],[Q]],STREAM[[#All],[SID]],1,0)),"✗","✓")</f>
        <v>✗</v>
      </c>
      <c r="J194" t="str">
        <f>IFERROR(VLOOKUP(M3U[[#This Row],[ID]]&amp;"-"&amp;M3U[[#This Row],[Q]],STREAM[],5,0),"-")</f>
        <v>-</v>
      </c>
      <c r="K194" t="str">
        <f>IFERROR(VLOOKUP(M3U[[#This Row],[ID]]&amp;"-"&amp;M3U[[#This Row],[Q]],STREAM[],6,0),"-")</f>
        <v>-</v>
      </c>
      <c r="L194" t="b">
        <v>1</v>
      </c>
    </row>
    <row r="195" spans="1:12" hidden="1" x14ac:dyDescent="0.55000000000000004">
      <c r="A195" t="s">
        <v>269</v>
      </c>
      <c r="B195" s="2" t="s">
        <v>621</v>
      </c>
      <c r="C195" s="8" t="str">
        <f>IF(ISERROR(VLOOKUP(M3U[[#This Row],[TVGID]],GUIDE[[#All],[TVGID]],1,0)),"✗","✓")</f>
        <v>✓</v>
      </c>
      <c r="D195">
        <v>709</v>
      </c>
      <c r="E195" t="s">
        <v>321</v>
      </c>
      <c r="F19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NBA</v>
      </c>
      <c r="G195" s="5" t="str">
        <f>IFERROR(IFERROR(VLOOKUP(M3U[[#This Row],[ID]],CHANNEL[#All],4,0),VLOOKUP(M3U[[#This Row],[ID]],CHANNEL_EXT[#All],4,0)),"-")</f>
        <v>https://images.indihometv.com/images/channels/image_ch_nbatv.png</v>
      </c>
      <c r="H195" s="4" t="str">
        <f>IFERROR(IFERROR(VLOOKUP(M3U[[#This Row],[ID]],CHANNEL[#All],3,0),VLOOKUP(M3U[[#This Row],[ID]],CHANNEL_EXT[#All],3,0)),"-")</f>
        <v>Sport</v>
      </c>
      <c r="I195" s="8" t="str">
        <f>IF(ISERROR(VLOOKUP(M3U[[#This Row],[ID]]&amp;"-"&amp;M3U[[#This Row],[Q]],STREAM[[#All],[SID]],1,0)),"✗","✓")</f>
        <v>✗</v>
      </c>
      <c r="J195" t="str">
        <f>IFERROR(VLOOKUP(M3U[[#This Row],[ID]]&amp;"-"&amp;M3U[[#This Row],[Q]],STREAM[],5,0),"-")</f>
        <v>-</v>
      </c>
      <c r="K195" t="str">
        <f>IFERROR(VLOOKUP(M3U[[#This Row],[ID]]&amp;"-"&amp;M3U[[#This Row],[Q]],STREAM[],6,0),"-")</f>
        <v>-</v>
      </c>
      <c r="L195" t="b">
        <v>0</v>
      </c>
    </row>
    <row r="196" spans="1:12" x14ac:dyDescent="0.55000000000000004">
      <c r="A196" t="s">
        <v>269</v>
      </c>
      <c r="B196" s="2" t="s">
        <v>621</v>
      </c>
      <c r="C196" s="8" t="str">
        <f>IF(ISERROR(VLOOKUP(M3U[[#This Row],[TVGID]],GUIDE[[#All],[TVGID]],1,0)),"✗","✓")</f>
        <v>✓</v>
      </c>
      <c r="D196">
        <v>709</v>
      </c>
      <c r="E196" t="s">
        <v>271</v>
      </c>
      <c r="F19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NBA HD</v>
      </c>
      <c r="G196" s="5" t="str">
        <f>IFERROR(IFERROR(VLOOKUP(M3U[[#This Row],[ID]],CHANNEL[#All],4,0),VLOOKUP(M3U[[#This Row],[ID]],CHANNEL_EXT[#All],4,0)),"-")</f>
        <v>https://images.indihometv.com/images/channels/image_ch_nbatv.png</v>
      </c>
      <c r="H196" s="4" t="str">
        <f>IFERROR(IFERROR(VLOOKUP(M3U[[#This Row],[ID]],CHANNEL[#All],3,0),VLOOKUP(M3U[[#This Row],[ID]],CHANNEL_EXT[#All],3,0)),"-")</f>
        <v>Sport</v>
      </c>
      <c r="I196" s="8" t="str">
        <f>IF(ISERROR(VLOOKUP(M3U[[#This Row],[ID]]&amp;"-"&amp;M3U[[#This Row],[Q]],STREAM[[#All],[SID]],1,0)),"✗","✓")</f>
        <v>✗</v>
      </c>
      <c r="J196" t="str">
        <f>IFERROR(VLOOKUP(M3U[[#This Row],[ID]]&amp;"-"&amp;M3U[[#This Row],[Q]],STREAM[],5,0),"-")</f>
        <v>-</v>
      </c>
      <c r="K196" t="str">
        <f>IFERROR(VLOOKUP(M3U[[#This Row],[ID]]&amp;"-"&amp;M3U[[#This Row],[Q]],STREAM[],6,0),"-")</f>
        <v>-</v>
      </c>
      <c r="L196" t="b">
        <v>1</v>
      </c>
    </row>
    <row r="197" spans="1:12" x14ac:dyDescent="0.55000000000000004">
      <c r="A197" t="s">
        <v>350</v>
      </c>
      <c r="B197" s="2" t="s">
        <v>622</v>
      </c>
      <c r="C197" s="8" t="str">
        <f>IF(ISERROR(VLOOKUP(M3U[[#This Row],[TVGID]],GUIDE[[#All],[TVGID]],1,0)),"✗","✓")</f>
        <v>✗</v>
      </c>
      <c r="D197">
        <v>710</v>
      </c>
      <c r="E197" t="s">
        <v>271</v>
      </c>
      <c r="F19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Voli TV HD</v>
      </c>
      <c r="G197" s="5" t="str">
        <f>IFERROR(IFERROR(VLOOKUP(M3U[[#This Row],[ID]],CHANNEL[#All],4,0),VLOOKUP(M3U[[#This Row],[ID]],CHANNEL_EXT[#All],4,0)),"-")</f>
        <v>https://yt3.googleusercontent.com/WKRq04d0GELQDjNx0U_oGykR8D3Bk0FQvcslMkMxhSsj_9wfa1cWz7f9NBlTKqwN3rzO2CQjboU=s160-c-k-c0x00ffffff-no-rj</v>
      </c>
      <c r="H197" s="4" t="str">
        <f>IFERROR(IFERROR(VLOOKUP(M3U[[#This Row],[ID]],CHANNEL[#All],3,0),VLOOKUP(M3U[[#This Row],[ID]],CHANNEL_EXT[#All],3,0)),"-")</f>
        <v>Sport</v>
      </c>
      <c r="I197" s="8" t="str">
        <f>IF(ISERROR(VLOOKUP(M3U[[#This Row],[ID]]&amp;"-"&amp;M3U[[#This Row],[Q]],STREAM[[#All],[SID]],1,0)),"✗","✓")</f>
        <v>✗</v>
      </c>
      <c r="J197" t="str">
        <f>IFERROR(VLOOKUP(M3U[[#This Row],[ID]]&amp;"-"&amp;M3U[[#This Row],[Q]],STREAM[],5,0),"-")</f>
        <v>-</v>
      </c>
      <c r="K197" t="str">
        <f>IFERROR(VLOOKUP(M3U[[#This Row],[ID]]&amp;"-"&amp;M3U[[#This Row],[Q]],STREAM[],6,0),"-")</f>
        <v>-</v>
      </c>
      <c r="L197" t="b">
        <v>1</v>
      </c>
    </row>
    <row r="198" spans="1:12" x14ac:dyDescent="0.55000000000000004">
      <c r="A198" t="s">
        <v>352</v>
      </c>
      <c r="B198" s="2" t="s">
        <v>623</v>
      </c>
      <c r="C198" s="8" t="str">
        <f>IF(ISERROR(VLOOKUP(M3U[[#This Row],[TVGID]],GUIDE[[#All],[TVGID]],1,0)),"✗","✓")</f>
        <v>✓</v>
      </c>
      <c r="D198">
        <v>711</v>
      </c>
      <c r="E198" t="s">
        <v>271</v>
      </c>
      <c r="F19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W-Sport HD</v>
      </c>
      <c r="G198" s="5" t="str">
        <f>IFERROR(IFERROR(VLOOKUP(M3U[[#This Row],[ID]],CHANNEL[#All],4,0),VLOOKUP(M3U[[#This Row],[ID]],CHANNEL_EXT[#All],4,0)),"-")</f>
        <v>https://divign0fdw3sv.cloudfront.net/Images/ChannelLogo/contenthub/503_144.png</v>
      </c>
      <c r="H198" s="4" t="str">
        <f>IFERROR(IFERROR(VLOOKUP(M3U[[#This Row],[ID]],CHANNEL[#All],3,0),VLOOKUP(M3U[[#This Row],[ID]],CHANNEL_EXT[#All],3,0)),"-")</f>
        <v>Sport</v>
      </c>
      <c r="I198" s="8" t="str">
        <f>IF(ISERROR(VLOOKUP(M3U[[#This Row],[ID]]&amp;"-"&amp;M3U[[#This Row],[Q]],STREAM[[#All],[SID]],1,0)),"✗","✓")</f>
        <v>✗</v>
      </c>
      <c r="J198" t="str">
        <f>IFERROR(VLOOKUP(M3U[[#This Row],[ID]]&amp;"-"&amp;M3U[[#This Row],[Q]],STREAM[],5,0),"-")</f>
        <v>-</v>
      </c>
      <c r="K198" t="str">
        <f>IFERROR(VLOOKUP(M3U[[#This Row],[ID]]&amp;"-"&amp;M3U[[#This Row],[Q]],STREAM[],6,0),"-")</f>
        <v>-</v>
      </c>
      <c r="L198" t="b">
        <v>1</v>
      </c>
    </row>
    <row r="199" spans="1:12" hidden="1" x14ac:dyDescent="0.55000000000000004">
      <c r="A199" t="s">
        <v>888</v>
      </c>
      <c r="B199" s="2" t="s">
        <v>624</v>
      </c>
      <c r="C199" s="8" t="str">
        <f>IF(ISERROR(VLOOKUP(M3U[[#This Row],[TVGID]],GUIDE[[#All],[TVGID]],1,0)),"✗","✓")</f>
        <v>✗</v>
      </c>
      <c r="D199">
        <v>714</v>
      </c>
      <c r="E199" t="s">
        <v>321</v>
      </c>
      <c r="F19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Horizon Sports</v>
      </c>
      <c r="G199" s="5" t="str">
        <f>IFERROR(IFERROR(VLOOKUP(M3U[[#This Row],[ID]],CHANNEL[#All],4,0),VLOOKUP(M3U[[#This Row],[ID]],CHANNEL_EXT[#All],4,0)),"-")</f>
        <v>https://images.maxstream.tv/sites/default/files/entry/0_1plxq8l8/landscape_carousel_hdpi.webp</v>
      </c>
      <c r="H199" s="4" t="str">
        <f>IFERROR(IFERROR(VLOOKUP(M3U[[#This Row],[ID]],CHANNEL[#All],3,0),VLOOKUP(M3U[[#This Row],[ID]],CHANNEL_EXT[#All],3,0)),"-")</f>
        <v>Sports Channel</v>
      </c>
      <c r="I199" s="8" t="str">
        <f>IF(ISERROR(VLOOKUP(M3U[[#This Row],[ID]]&amp;"-"&amp;M3U[[#This Row],[Q]],STREAM[[#All],[SID]],1,0)),"✗","✓")</f>
        <v>✗</v>
      </c>
      <c r="J199" t="str">
        <f>IFERROR(VLOOKUP(M3U[[#This Row],[ID]]&amp;"-"&amp;M3U[[#This Row],[Q]],STREAM[],5,0),"-")</f>
        <v>-</v>
      </c>
      <c r="K199" t="str">
        <f>IFERROR(VLOOKUP(M3U[[#This Row],[ID]]&amp;"-"&amp;M3U[[#This Row],[Q]],STREAM[],6,0),"-")</f>
        <v>-</v>
      </c>
      <c r="L199" t="b">
        <v>0</v>
      </c>
    </row>
    <row r="200" spans="1:12" x14ac:dyDescent="0.55000000000000004">
      <c r="A200" t="s">
        <v>888</v>
      </c>
      <c r="B200" s="2" t="s">
        <v>624</v>
      </c>
      <c r="C200" s="8" t="str">
        <f>IF(ISERROR(VLOOKUP(M3U[[#This Row],[TVGID]],GUIDE[[#All],[TVGID]],1,0)),"✗","✓")</f>
        <v>✗</v>
      </c>
      <c r="D200">
        <v>714</v>
      </c>
      <c r="E200" t="s">
        <v>271</v>
      </c>
      <c r="F20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Horizon Sports HD</v>
      </c>
      <c r="G200" s="5" t="str">
        <f>IFERROR(IFERROR(VLOOKUP(M3U[[#This Row],[ID]],CHANNEL[#All],4,0),VLOOKUP(M3U[[#This Row],[ID]],CHANNEL_EXT[#All],4,0)),"-")</f>
        <v>https://images.maxstream.tv/sites/default/files/entry/0_1plxq8l8/landscape_carousel_hdpi.webp</v>
      </c>
      <c r="H200" s="4" t="str">
        <f>IFERROR(IFERROR(VLOOKUP(M3U[[#This Row],[ID]],CHANNEL[#All],3,0),VLOOKUP(M3U[[#This Row],[ID]],CHANNEL_EXT[#All],3,0)),"-")</f>
        <v>Sports Channel</v>
      </c>
      <c r="I200" s="8" t="str">
        <f>IF(ISERROR(VLOOKUP(M3U[[#This Row],[ID]]&amp;"-"&amp;M3U[[#This Row],[Q]],STREAM[[#All],[SID]],1,0)),"✗","✓")</f>
        <v>✗</v>
      </c>
      <c r="J200" t="str">
        <f>IFERROR(VLOOKUP(M3U[[#This Row],[ID]]&amp;"-"&amp;M3U[[#This Row],[Q]],STREAM[],5,0),"-")</f>
        <v>-</v>
      </c>
      <c r="K200" t="str">
        <f>IFERROR(VLOOKUP(M3U[[#This Row],[ID]]&amp;"-"&amp;M3U[[#This Row],[Q]],STREAM[],6,0),"-")</f>
        <v>-</v>
      </c>
      <c r="L200" t="b">
        <v>1</v>
      </c>
    </row>
    <row r="201" spans="1:12" x14ac:dyDescent="0.55000000000000004">
      <c r="A201" t="s">
        <v>650</v>
      </c>
      <c r="B201" s="2" t="s">
        <v>926</v>
      </c>
      <c r="C201" s="8" t="str">
        <f>IF(ISERROR(VLOOKUP(M3U[[#This Row],[TVGID]],GUIDE[[#All],[TVGID]],1,0)),"✗","✓")</f>
        <v>✓</v>
      </c>
      <c r="D201">
        <v>715</v>
      </c>
      <c r="E201" t="s">
        <v>271</v>
      </c>
      <c r="F20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Champions Golf 1 HD</v>
      </c>
      <c r="G201" s="5" t="str">
        <f>IFERROR(IFERROR(VLOOKUP(M3U[[#This Row],[ID]],CHANNEL[#All],4,0),VLOOKUP(M3U[[#This Row],[ID]],CHANNEL_EXT[#All],4,0)),"-")</f>
        <v>https://thumbor.prod.vidiocdn.com/5RyqXQzhOVE-gf2Y_IG1e5heJV8=/230x230/filters:quality(70)/vidio-web-prod-livestreaming/uploads/livestreaming/square_image/18189/8180b2.png</v>
      </c>
      <c r="H201" s="4" t="str">
        <f>IFERROR(IFERROR(VLOOKUP(M3U[[#This Row],[ID]],CHANNEL[#All],3,0),VLOOKUP(M3U[[#This Row],[ID]],CHANNEL_EXT[#All],3,0)),"-")</f>
        <v>Sport</v>
      </c>
      <c r="I201" s="8" t="str">
        <f>IF(ISERROR(VLOOKUP(M3U[[#This Row],[ID]]&amp;"-"&amp;M3U[[#This Row],[Q]],STREAM[[#All],[SID]],1,0)),"✗","✓")</f>
        <v>✗</v>
      </c>
      <c r="J201" t="str">
        <f>IFERROR(VLOOKUP(M3U[[#This Row],[ID]]&amp;"-"&amp;M3U[[#This Row],[Q]],STREAM[],5,0),"-")</f>
        <v>-</v>
      </c>
      <c r="K201" t="str">
        <f>IFERROR(VLOOKUP(M3U[[#This Row],[ID]]&amp;"-"&amp;M3U[[#This Row],[Q]],STREAM[],6,0),"-")</f>
        <v>-</v>
      </c>
      <c r="L201" t="b">
        <v>1</v>
      </c>
    </row>
    <row r="202" spans="1:12" x14ac:dyDescent="0.55000000000000004">
      <c r="A202" t="s">
        <v>651</v>
      </c>
      <c r="B202" s="2" t="s">
        <v>927</v>
      </c>
      <c r="C202" s="8" t="str">
        <f>IF(ISERROR(VLOOKUP(M3U[[#This Row],[TVGID]],GUIDE[[#All],[TVGID]],1,0)),"✗","✓")</f>
        <v>✓</v>
      </c>
      <c r="D202">
        <v>716</v>
      </c>
      <c r="E202" t="s">
        <v>271</v>
      </c>
      <c r="F20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Champions Golf 2 HD</v>
      </c>
      <c r="G202" s="5" t="str">
        <f>IFERROR(IFERROR(VLOOKUP(M3U[[#This Row],[ID]],CHANNEL[#All],4,0),VLOOKUP(M3U[[#This Row],[ID]],CHANNEL_EXT[#All],4,0)),"-")</f>
        <v>https://thumbor.prod.vidiocdn.com/iASUDB26jxl_lTZyJTM2mmr3fQY=/230x230/filters:quality(70)/vidio-web-prod-livestreaming/uploads/livestreaming/square_image/18190/541269.png</v>
      </c>
      <c r="H202" s="4" t="str">
        <f>IFERROR(IFERROR(VLOOKUP(M3U[[#This Row],[ID]],CHANNEL[#All],3,0),VLOOKUP(M3U[[#This Row],[ID]],CHANNEL_EXT[#All],3,0)),"-")</f>
        <v>Sport</v>
      </c>
      <c r="I202" s="8" t="str">
        <f>IF(ISERROR(VLOOKUP(M3U[[#This Row],[ID]]&amp;"-"&amp;M3U[[#This Row],[Q]],STREAM[[#All],[SID]],1,0)),"✗","✓")</f>
        <v>✗</v>
      </c>
      <c r="J202" t="str">
        <f>IFERROR(VLOOKUP(M3U[[#This Row],[ID]]&amp;"-"&amp;M3U[[#This Row],[Q]],STREAM[],5,0),"-")</f>
        <v>-</v>
      </c>
      <c r="K202" t="str">
        <f>IFERROR(VLOOKUP(M3U[[#This Row],[ID]]&amp;"-"&amp;M3U[[#This Row],[Q]],STREAM[],6,0),"-")</f>
        <v>-</v>
      </c>
      <c r="L202" t="b">
        <v>1</v>
      </c>
    </row>
    <row r="203" spans="1:12" x14ac:dyDescent="0.55000000000000004">
      <c r="A203" t="s">
        <v>240</v>
      </c>
      <c r="B203" s="2" t="s">
        <v>625</v>
      </c>
      <c r="C203" s="8" t="str">
        <f>IF(ISERROR(VLOOKUP(M3U[[#This Row],[TVGID]],GUIDE[[#All],[TVGID]],1,0)),"✗","✓")</f>
        <v>✓</v>
      </c>
      <c r="D203">
        <v>800</v>
      </c>
      <c r="E203" t="s">
        <v>321</v>
      </c>
      <c r="F20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Euronews</v>
      </c>
      <c r="G203" s="5" t="str">
        <f>IFERROR(IFERROR(VLOOKUP(M3U[[#This Row],[ID]],CHANNEL[#All],4,0),VLOOKUP(M3U[[#This Row],[ID]],CHANNEL_EXT[#All],4,0)),"-")</f>
        <v>https://images.maxstream.tv/sites/default/files/entry/0_nt2t5yrg/landscape_carousel_hdpi.webp</v>
      </c>
      <c r="H203" s="4" t="str">
        <f>IFERROR(IFERROR(VLOOKUP(M3U[[#This Row],[ID]],CHANNEL[#All],3,0),VLOOKUP(M3U[[#This Row],[ID]],CHANNEL_EXT[#All],3,0)),"-")</f>
        <v>News</v>
      </c>
      <c r="I203" s="8" t="str">
        <f>IF(ISERROR(VLOOKUP(M3U[[#This Row],[ID]]&amp;"-"&amp;M3U[[#This Row],[Q]],STREAM[[#All],[SID]],1,0)),"✗","✓")</f>
        <v>✗</v>
      </c>
      <c r="J203" t="str">
        <f>IFERROR(VLOOKUP(M3U[[#This Row],[ID]]&amp;"-"&amp;M3U[[#This Row],[Q]],STREAM[],5,0),"-")</f>
        <v>-</v>
      </c>
      <c r="K203" t="str">
        <f>IFERROR(VLOOKUP(M3U[[#This Row],[ID]]&amp;"-"&amp;M3U[[#This Row],[Q]],STREAM[],6,0),"-")</f>
        <v>-</v>
      </c>
      <c r="L203" t="b">
        <v>1</v>
      </c>
    </row>
    <row r="204" spans="1:12" hidden="1" x14ac:dyDescent="0.55000000000000004">
      <c r="A204" t="s">
        <v>236</v>
      </c>
      <c r="B204" s="2" t="s">
        <v>373</v>
      </c>
      <c r="C204" s="8" t="str">
        <f>IF(ISERROR(VLOOKUP(M3U[[#This Row],[TVGID]],GUIDE[[#All],[TVGID]],1,0)),"✗","✓")</f>
        <v>✓</v>
      </c>
      <c r="D204">
        <v>801</v>
      </c>
      <c r="E204" t="s">
        <v>321</v>
      </c>
      <c r="F20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CNN International</v>
      </c>
      <c r="G204" s="5" t="str">
        <f>IFERROR(IFERROR(VLOOKUP(M3U[[#This Row],[ID]],CHANNEL[#All],4,0),VLOOKUP(M3U[[#This Row],[ID]],CHANNEL_EXT[#All],4,0)),"-")</f>
        <v>https://images.maxstream.tv/sites/default/files/entry/0_455xkjp3/landscape_carousel_hdpi.webp</v>
      </c>
      <c r="H204" s="4" t="str">
        <f>IFERROR(IFERROR(VLOOKUP(M3U[[#This Row],[ID]],CHANNEL[#All],3,0),VLOOKUP(M3U[[#This Row],[ID]],CHANNEL_EXT[#All],3,0)),"-")</f>
        <v>News</v>
      </c>
      <c r="I204" s="8" t="str">
        <f>IF(ISERROR(VLOOKUP(M3U[[#This Row],[ID]]&amp;"-"&amp;M3U[[#This Row],[Q]],STREAM[[#All],[SID]],1,0)),"✗","✓")</f>
        <v>✗</v>
      </c>
      <c r="J204" t="str">
        <f>IFERROR(VLOOKUP(M3U[[#This Row],[ID]]&amp;"-"&amp;M3U[[#This Row],[Q]],STREAM[],5,0),"-")</f>
        <v>-</v>
      </c>
      <c r="K204" t="str">
        <f>IFERROR(VLOOKUP(M3U[[#This Row],[ID]]&amp;"-"&amp;M3U[[#This Row],[Q]],STREAM[],6,0),"-")</f>
        <v>-</v>
      </c>
      <c r="L204" t="b">
        <v>0</v>
      </c>
    </row>
    <row r="205" spans="1:12" x14ac:dyDescent="0.55000000000000004">
      <c r="A205" t="s">
        <v>236</v>
      </c>
      <c r="B205" s="2" t="s">
        <v>373</v>
      </c>
      <c r="C205" s="8" t="str">
        <f>IF(ISERROR(VLOOKUP(M3U[[#This Row],[TVGID]],GUIDE[[#All],[TVGID]],1,0)),"✗","✓")</f>
        <v>✓</v>
      </c>
      <c r="D205">
        <v>801</v>
      </c>
      <c r="E205" t="s">
        <v>271</v>
      </c>
      <c r="F20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CNN International HD</v>
      </c>
      <c r="G205" s="5" t="str">
        <f>IFERROR(IFERROR(VLOOKUP(M3U[[#This Row],[ID]],CHANNEL[#All],4,0),VLOOKUP(M3U[[#This Row],[ID]],CHANNEL_EXT[#All],4,0)),"-")</f>
        <v>https://images.maxstream.tv/sites/default/files/entry/0_455xkjp3/landscape_carousel_hdpi.webp</v>
      </c>
      <c r="H205" s="4" t="str">
        <f>IFERROR(IFERROR(VLOOKUP(M3U[[#This Row],[ID]],CHANNEL[#All],3,0),VLOOKUP(M3U[[#This Row],[ID]],CHANNEL_EXT[#All],3,0)),"-")</f>
        <v>News</v>
      </c>
      <c r="I205" s="8" t="str">
        <f>IF(ISERROR(VLOOKUP(M3U[[#This Row],[ID]]&amp;"-"&amp;M3U[[#This Row],[Q]],STREAM[[#All],[SID]],1,0)),"✗","✓")</f>
        <v>✗</v>
      </c>
      <c r="J205" t="str">
        <f>IFERROR(VLOOKUP(M3U[[#This Row],[ID]]&amp;"-"&amp;M3U[[#This Row],[Q]],STREAM[],5,0),"-")</f>
        <v>-</v>
      </c>
      <c r="K205" t="str">
        <f>IFERROR(VLOOKUP(M3U[[#This Row],[ID]]&amp;"-"&amp;M3U[[#This Row],[Q]],STREAM[],6,0),"-")</f>
        <v>-</v>
      </c>
      <c r="L205" t="b">
        <v>1</v>
      </c>
    </row>
    <row r="206" spans="1:12" hidden="1" x14ac:dyDescent="0.55000000000000004">
      <c r="A206" t="s">
        <v>232</v>
      </c>
      <c r="B206" s="2" t="s">
        <v>374</v>
      </c>
      <c r="C206" s="8" t="str">
        <f>IF(ISERROR(VLOOKUP(M3U[[#This Row],[TVGID]],GUIDE[[#All],[TVGID]],1,0)),"✗","✓")</f>
        <v>✓</v>
      </c>
      <c r="D206">
        <v>802</v>
      </c>
      <c r="E206" t="s">
        <v>321</v>
      </c>
      <c r="F20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Bloomberg</v>
      </c>
      <c r="G206" s="5" t="str">
        <f>IFERROR(IFERROR(VLOOKUP(M3U[[#This Row],[ID]],CHANNEL[#All],4,0),VLOOKUP(M3U[[#This Row],[ID]],CHANNEL_EXT[#All],4,0)),"-")</f>
        <v>https://images.maxstream.tv/sites/default/files/entry/0_ayq5nxva/landscape_carousel_hdpi.webp</v>
      </c>
      <c r="H206" s="4" t="str">
        <f>IFERROR(IFERROR(VLOOKUP(M3U[[#This Row],[ID]],CHANNEL[#All],3,0),VLOOKUP(M3U[[#This Row],[ID]],CHANNEL_EXT[#All],3,0)),"-")</f>
        <v>News</v>
      </c>
      <c r="I206" s="8" t="str">
        <f>IF(ISERROR(VLOOKUP(M3U[[#This Row],[ID]]&amp;"-"&amp;M3U[[#This Row],[Q]],STREAM[[#All],[SID]],1,0)),"✗","✓")</f>
        <v>✗</v>
      </c>
      <c r="J206" t="str">
        <f>IFERROR(VLOOKUP(M3U[[#This Row],[ID]]&amp;"-"&amp;M3U[[#This Row],[Q]],STREAM[],5,0),"-")</f>
        <v>-</v>
      </c>
      <c r="K206" t="str">
        <f>IFERROR(VLOOKUP(M3U[[#This Row],[ID]]&amp;"-"&amp;M3U[[#This Row],[Q]],STREAM[],6,0),"-")</f>
        <v>-</v>
      </c>
      <c r="L206" t="b">
        <v>0</v>
      </c>
    </row>
    <row r="207" spans="1:12" x14ac:dyDescent="0.55000000000000004">
      <c r="A207" t="s">
        <v>232</v>
      </c>
      <c r="B207" s="2" t="s">
        <v>374</v>
      </c>
      <c r="C207" s="8" t="str">
        <f>IF(ISERROR(VLOOKUP(M3U[[#This Row],[TVGID]],GUIDE[[#All],[TVGID]],1,0)),"✗","✓")</f>
        <v>✓</v>
      </c>
      <c r="D207">
        <v>802</v>
      </c>
      <c r="E207" t="s">
        <v>271</v>
      </c>
      <c r="F20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Bloomberg HD</v>
      </c>
      <c r="G207" s="5" t="str">
        <f>IFERROR(IFERROR(VLOOKUP(M3U[[#This Row],[ID]],CHANNEL[#All],4,0),VLOOKUP(M3U[[#This Row],[ID]],CHANNEL_EXT[#All],4,0)),"-")</f>
        <v>https://images.maxstream.tv/sites/default/files/entry/0_ayq5nxva/landscape_carousel_hdpi.webp</v>
      </c>
      <c r="H207" s="4" t="str">
        <f>IFERROR(IFERROR(VLOOKUP(M3U[[#This Row],[ID]],CHANNEL[#All],3,0),VLOOKUP(M3U[[#This Row],[ID]],CHANNEL_EXT[#All],3,0)),"-")</f>
        <v>News</v>
      </c>
      <c r="I207" s="8" t="str">
        <f>IF(ISERROR(VLOOKUP(M3U[[#This Row],[ID]]&amp;"-"&amp;M3U[[#This Row],[Q]],STREAM[[#All],[SID]],1,0)),"✗","✓")</f>
        <v>✗</v>
      </c>
      <c r="J207" t="str">
        <f>IFERROR(VLOOKUP(M3U[[#This Row],[ID]]&amp;"-"&amp;M3U[[#This Row],[Q]],STREAM[],5,0),"-")</f>
        <v>-</v>
      </c>
      <c r="K207" t="str">
        <f>IFERROR(VLOOKUP(M3U[[#This Row],[ID]]&amp;"-"&amp;M3U[[#This Row],[Q]],STREAM[],6,0),"-")</f>
        <v>-</v>
      </c>
      <c r="L207" t="b">
        <v>1</v>
      </c>
    </row>
    <row r="208" spans="1:12" hidden="1" x14ac:dyDescent="0.55000000000000004">
      <c r="A208" t="s">
        <v>233</v>
      </c>
      <c r="B208" s="2" t="s">
        <v>626</v>
      </c>
      <c r="C208" s="8" t="str">
        <f>IF(ISERROR(VLOOKUP(M3U[[#This Row],[TVGID]],GUIDE[[#All],[TVGID]],1,0)),"✗","✓")</f>
        <v>✓</v>
      </c>
      <c r="D208">
        <v>803</v>
      </c>
      <c r="E208" t="s">
        <v>321</v>
      </c>
      <c r="F20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CNBC Asia</v>
      </c>
      <c r="G208" s="5" t="str">
        <f>IFERROR(IFERROR(VLOOKUP(M3U[[#This Row],[ID]],CHANNEL[#All],4,0),VLOOKUP(M3U[[#This Row],[ID]],CHANNEL_EXT[#All],4,0)),"-")</f>
        <v>https://images.maxstream.tv/sites/default/files/entry/0_af2rxjmy/landscape_carousel_hdpi.webp</v>
      </c>
      <c r="H208" s="4" t="str">
        <f>IFERROR(IFERROR(VLOOKUP(M3U[[#This Row],[ID]],CHANNEL[#All],3,0),VLOOKUP(M3U[[#This Row],[ID]],CHANNEL_EXT[#All],3,0)),"-")</f>
        <v>News</v>
      </c>
      <c r="I208" s="8" t="str">
        <f>IF(ISERROR(VLOOKUP(M3U[[#This Row],[ID]]&amp;"-"&amp;M3U[[#This Row],[Q]],STREAM[[#All],[SID]],1,0)),"✗","✓")</f>
        <v>✗</v>
      </c>
      <c r="J208" t="str">
        <f>IFERROR(VLOOKUP(M3U[[#This Row],[ID]]&amp;"-"&amp;M3U[[#This Row],[Q]],STREAM[],5,0),"-")</f>
        <v>-</v>
      </c>
      <c r="K208" t="str">
        <f>IFERROR(VLOOKUP(M3U[[#This Row],[ID]]&amp;"-"&amp;M3U[[#This Row],[Q]],STREAM[],6,0),"-")</f>
        <v>-</v>
      </c>
      <c r="L208" t="b">
        <v>0</v>
      </c>
    </row>
    <row r="209" spans="1:12" x14ac:dyDescent="0.55000000000000004">
      <c r="A209" t="s">
        <v>233</v>
      </c>
      <c r="B209" s="2" t="s">
        <v>626</v>
      </c>
      <c r="C209" s="8" t="str">
        <f>IF(ISERROR(VLOOKUP(M3U[[#This Row],[TVGID]],GUIDE[[#All],[TVGID]],1,0)),"✗","✓")</f>
        <v>✓</v>
      </c>
      <c r="D209">
        <v>803</v>
      </c>
      <c r="E209" t="s">
        <v>271</v>
      </c>
      <c r="F20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CNBC Asia HD</v>
      </c>
      <c r="G209" s="5" t="str">
        <f>IFERROR(IFERROR(VLOOKUP(M3U[[#This Row],[ID]],CHANNEL[#All],4,0),VLOOKUP(M3U[[#This Row],[ID]],CHANNEL_EXT[#All],4,0)),"-")</f>
        <v>https://images.maxstream.tv/sites/default/files/entry/0_af2rxjmy/landscape_carousel_hdpi.webp</v>
      </c>
      <c r="H209" s="4" t="str">
        <f>IFERROR(IFERROR(VLOOKUP(M3U[[#This Row],[ID]],CHANNEL[#All],3,0),VLOOKUP(M3U[[#This Row],[ID]],CHANNEL_EXT[#All],3,0)),"-")</f>
        <v>News</v>
      </c>
      <c r="I209" s="8" t="str">
        <f>IF(ISERROR(VLOOKUP(M3U[[#This Row],[ID]]&amp;"-"&amp;M3U[[#This Row],[Q]],STREAM[[#All],[SID]],1,0)),"✗","✓")</f>
        <v>✗</v>
      </c>
      <c r="J209" t="str">
        <f>IFERROR(VLOOKUP(M3U[[#This Row],[ID]]&amp;"-"&amp;M3U[[#This Row],[Q]],STREAM[],5,0),"-")</f>
        <v>-</v>
      </c>
      <c r="K209" t="str">
        <f>IFERROR(VLOOKUP(M3U[[#This Row],[ID]]&amp;"-"&amp;M3U[[#This Row],[Q]],STREAM[],6,0),"-")</f>
        <v>-</v>
      </c>
      <c r="L209" t="b">
        <v>1</v>
      </c>
    </row>
    <row r="210" spans="1:12" hidden="1" x14ac:dyDescent="0.55000000000000004">
      <c r="A210" t="s">
        <v>718</v>
      </c>
      <c r="B210" s="2" t="s">
        <v>627</v>
      </c>
      <c r="C210" s="8" t="str">
        <f>IF(ISERROR(VLOOKUP(M3U[[#This Row],[TVGID]],GUIDE[[#All],[TVGID]],1,0)),"✗","✓")</f>
        <v>✓</v>
      </c>
      <c r="D210">
        <v>804</v>
      </c>
      <c r="E210" t="s">
        <v>321</v>
      </c>
      <c r="F21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CNA</v>
      </c>
      <c r="G210" s="5" t="str">
        <f>IFERROR(IFERROR(VLOOKUP(M3U[[#This Row],[ID]],CHANNEL[#All],4,0),VLOOKUP(M3U[[#This Row],[ID]],CHANNEL_EXT[#All],4,0)),"-")</f>
        <v>https://images.maxstream.tv/sites/default/files/entry/0_xi5ysa4r/landscape_carousel_hdpi.webp</v>
      </c>
      <c r="H210" s="4" t="str">
        <f>IFERROR(IFERROR(VLOOKUP(M3U[[#This Row],[ID]],CHANNEL[#All],3,0),VLOOKUP(M3U[[#This Row],[ID]],CHANNEL_EXT[#All],3,0)),"-")</f>
        <v>News</v>
      </c>
      <c r="I210" s="8" t="str">
        <f>IF(ISERROR(VLOOKUP(M3U[[#This Row],[ID]]&amp;"-"&amp;M3U[[#This Row],[Q]],STREAM[[#All],[SID]],1,0)),"✗","✓")</f>
        <v>✗</v>
      </c>
      <c r="J210" t="str">
        <f>IFERROR(VLOOKUP(M3U[[#This Row],[ID]]&amp;"-"&amp;M3U[[#This Row],[Q]],STREAM[],5,0),"-")</f>
        <v>-</v>
      </c>
      <c r="K210" t="str">
        <f>IFERROR(VLOOKUP(M3U[[#This Row],[ID]]&amp;"-"&amp;M3U[[#This Row],[Q]],STREAM[],6,0),"-")</f>
        <v>-</v>
      </c>
      <c r="L210" t="b">
        <v>0</v>
      </c>
    </row>
    <row r="211" spans="1:12" x14ac:dyDescent="0.55000000000000004">
      <c r="A211" t="s">
        <v>718</v>
      </c>
      <c r="B211" s="2" t="s">
        <v>627</v>
      </c>
      <c r="C211" s="8" t="str">
        <f>IF(ISERROR(VLOOKUP(M3U[[#This Row],[TVGID]],GUIDE[[#All],[TVGID]],1,0)),"✗","✓")</f>
        <v>✓</v>
      </c>
      <c r="D211">
        <v>804</v>
      </c>
      <c r="E211" t="s">
        <v>271</v>
      </c>
      <c r="F21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CNA HD</v>
      </c>
      <c r="G211" s="5" t="str">
        <f>IFERROR(IFERROR(VLOOKUP(M3U[[#This Row],[ID]],CHANNEL[#All],4,0),VLOOKUP(M3U[[#This Row],[ID]],CHANNEL_EXT[#All],4,0)),"-")</f>
        <v>https://images.maxstream.tv/sites/default/files/entry/0_xi5ysa4r/landscape_carousel_hdpi.webp</v>
      </c>
      <c r="H211" s="4" t="str">
        <f>IFERROR(IFERROR(VLOOKUP(M3U[[#This Row],[ID]],CHANNEL[#All],3,0),VLOOKUP(M3U[[#This Row],[ID]],CHANNEL_EXT[#All],3,0)),"-")</f>
        <v>News</v>
      </c>
      <c r="I211" s="8" t="str">
        <f>IF(ISERROR(VLOOKUP(M3U[[#This Row],[ID]]&amp;"-"&amp;M3U[[#This Row],[Q]],STREAM[[#All],[SID]],1,0)),"✗","✓")</f>
        <v>✗</v>
      </c>
      <c r="J211" t="str">
        <f>IFERROR(VLOOKUP(M3U[[#This Row],[ID]]&amp;"-"&amp;M3U[[#This Row],[Q]],STREAM[],5,0),"-")</f>
        <v>-</v>
      </c>
      <c r="K211" t="str">
        <f>IFERROR(VLOOKUP(M3U[[#This Row],[ID]]&amp;"-"&amp;M3U[[#This Row],[Q]],STREAM[],6,0),"-")</f>
        <v>-</v>
      </c>
      <c r="L211" t="b">
        <v>1</v>
      </c>
    </row>
    <row r="212" spans="1:12" hidden="1" x14ac:dyDescent="0.55000000000000004">
      <c r="A212" t="s">
        <v>230</v>
      </c>
      <c r="B212" s="2" t="s">
        <v>641</v>
      </c>
      <c r="C212" s="8" t="str">
        <f>IF(ISERROR(VLOOKUP(M3U[[#This Row],[TVGID]],GUIDE[[#All],[TVGID]],1,0)),"✗","✓")</f>
        <v>✓</v>
      </c>
      <c r="D212">
        <v>805</v>
      </c>
      <c r="E212" t="s">
        <v>321</v>
      </c>
      <c r="F21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Al Jazeera</v>
      </c>
      <c r="G212" s="5" t="str">
        <f>IFERROR(IFERROR(VLOOKUP(M3U[[#This Row],[ID]],CHANNEL[#All],4,0),VLOOKUP(M3U[[#This Row],[ID]],CHANNEL_EXT[#All],4,0)),"-")</f>
        <v>https://images.maxstream.tv/sites/default/files/entry/0_ss6ehuur/landscape_carousel_hdpi.webp</v>
      </c>
      <c r="H212" s="4" t="str">
        <f>IFERROR(IFERROR(VLOOKUP(M3U[[#This Row],[ID]],CHANNEL[#All],3,0),VLOOKUP(M3U[[#This Row],[ID]],CHANNEL_EXT[#All],3,0)),"-")</f>
        <v>News</v>
      </c>
      <c r="I212" s="8" t="str">
        <f>IF(ISERROR(VLOOKUP(M3U[[#This Row],[ID]]&amp;"-"&amp;M3U[[#This Row],[Q]],STREAM[[#All],[SID]],1,0)),"✗","✓")</f>
        <v>✗</v>
      </c>
      <c r="J212" t="str">
        <f>IFERROR(VLOOKUP(M3U[[#This Row],[ID]]&amp;"-"&amp;M3U[[#This Row],[Q]],STREAM[],5,0),"-")</f>
        <v>-</v>
      </c>
      <c r="K212" t="str">
        <f>IFERROR(VLOOKUP(M3U[[#This Row],[ID]]&amp;"-"&amp;M3U[[#This Row],[Q]],STREAM[],6,0),"-")</f>
        <v>-</v>
      </c>
      <c r="L212" t="b">
        <v>0</v>
      </c>
    </row>
    <row r="213" spans="1:12" x14ac:dyDescent="0.55000000000000004">
      <c r="A213" t="s">
        <v>230</v>
      </c>
      <c r="B213" s="2" t="s">
        <v>641</v>
      </c>
      <c r="C213" s="8" t="str">
        <f>IF(ISERROR(VLOOKUP(M3U[[#This Row],[TVGID]],GUIDE[[#All],[TVGID]],1,0)),"✗","✓")</f>
        <v>✓</v>
      </c>
      <c r="D213">
        <v>805</v>
      </c>
      <c r="E213" t="s">
        <v>271</v>
      </c>
      <c r="F21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Al Jazeera HD</v>
      </c>
      <c r="G213" s="5" t="str">
        <f>IFERROR(IFERROR(VLOOKUP(M3U[[#This Row],[ID]],CHANNEL[#All],4,0),VLOOKUP(M3U[[#This Row],[ID]],CHANNEL_EXT[#All],4,0)),"-")</f>
        <v>https://images.maxstream.tv/sites/default/files/entry/0_ss6ehuur/landscape_carousel_hdpi.webp</v>
      </c>
      <c r="H213" s="4" t="str">
        <f>IFERROR(IFERROR(VLOOKUP(M3U[[#This Row],[ID]],CHANNEL[#All],3,0),VLOOKUP(M3U[[#This Row],[ID]],CHANNEL_EXT[#All],3,0)),"-")</f>
        <v>News</v>
      </c>
      <c r="I213" s="8" t="str">
        <f>IF(ISERROR(VLOOKUP(M3U[[#This Row],[ID]]&amp;"-"&amp;M3U[[#This Row],[Q]],STREAM[[#All],[SID]],1,0)),"✗","✓")</f>
        <v>✗</v>
      </c>
      <c r="J213" t="str">
        <f>IFERROR(VLOOKUP(M3U[[#This Row],[ID]]&amp;"-"&amp;M3U[[#This Row],[Q]],STREAM[],5,0),"-")</f>
        <v>-</v>
      </c>
      <c r="K213" t="str">
        <f>IFERROR(VLOOKUP(M3U[[#This Row],[ID]]&amp;"-"&amp;M3U[[#This Row],[Q]],STREAM[],6,0),"-")</f>
        <v>-</v>
      </c>
      <c r="L213" t="b">
        <v>1</v>
      </c>
    </row>
    <row r="214" spans="1:12" hidden="1" x14ac:dyDescent="0.55000000000000004">
      <c r="A214" t="s">
        <v>241</v>
      </c>
      <c r="B214" s="2" t="s">
        <v>375</v>
      </c>
      <c r="C214" s="8" t="str">
        <f>IF(ISERROR(VLOOKUP(M3U[[#This Row],[TVGID]],GUIDE[[#All],[TVGID]],1,0)),"✗","✓")</f>
        <v>✓</v>
      </c>
      <c r="D214">
        <v>806</v>
      </c>
      <c r="E214" t="s">
        <v>321</v>
      </c>
      <c r="F21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France 24</v>
      </c>
      <c r="G214" s="5" t="str">
        <f>IFERROR(IFERROR(VLOOKUP(M3U[[#This Row],[ID]],CHANNEL[#All],4,0),VLOOKUP(M3U[[#This Row],[ID]],CHANNEL_EXT[#All],4,0)),"-")</f>
        <v>https://images.maxstream.tv/sites/default/files/entry/0_gvz1a46f/landscape_carousel_hdpi.webp</v>
      </c>
      <c r="H214" s="4" t="str">
        <f>IFERROR(IFERROR(VLOOKUP(M3U[[#This Row],[ID]],CHANNEL[#All],3,0),VLOOKUP(M3U[[#This Row],[ID]],CHANNEL_EXT[#All],3,0)),"-")</f>
        <v>News</v>
      </c>
      <c r="I214" s="8" t="str">
        <f>IF(ISERROR(VLOOKUP(M3U[[#This Row],[ID]]&amp;"-"&amp;M3U[[#This Row],[Q]],STREAM[[#All],[SID]],1,0)),"✗","✓")</f>
        <v>✗</v>
      </c>
      <c r="J214" t="str">
        <f>IFERROR(VLOOKUP(M3U[[#This Row],[ID]]&amp;"-"&amp;M3U[[#This Row],[Q]],STREAM[],5,0),"-")</f>
        <v>-</v>
      </c>
      <c r="K214" t="str">
        <f>IFERROR(VLOOKUP(M3U[[#This Row],[ID]]&amp;"-"&amp;M3U[[#This Row],[Q]],STREAM[],6,0),"-")</f>
        <v>-</v>
      </c>
      <c r="L214" t="b">
        <v>0</v>
      </c>
    </row>
    <row r="215" spans="1:12" x14ac:dyDescent="0.55000000000000004">
      <c r="A215" t="s">
        <v>241</v>
      </c>
      <c r="B215" s="2" t="s">
        <v>375</v>
      </c>
      <c r="C215" s="8" t="str">
        <f>IF(ISERROR(VLOOKUP(M3U[[#This Row],[TVGID]],GUIDE[[#All],[TVGID]],1,0)),"✗","✓")</f>
        <v>✓</v>
      </c>
      <c r="D215">
        <v>806</v>
      </c>
      <c r="E215" t="s">
        <v>271</v>
      </c>
      <c r="F21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France 24 HD</v>
      </c>
      <c r="G215" s="5" t="str">
        <f>IFERROR(IFERROR(VLOOKUP(M3U[[#This Row],[ID]],CHANNEL[#All],4,0),VLOOKUP(M3U[[#This Row],[ID]],CHANNEL_EXT[#All],4,0)),"-")</f>
        <v>https://images.maxstream.tv/sites/default/files/entry/0_gvz1a46f/landscape_carousel_hdpi.webp</v>
      </c>
      <c r="H215" s="4" t="str">
        <f>IFERROR(IFERROR(VLOOKUP(M3U[[#This Row],[ID]],CHANNEL[#All],3,0),VLOOKUP(M3U[[#This Row],[ID]],CHANNEL_EXT[#All],3,0)),"-")</f>
        <v>News</v>
      </c>
      <c r="I215" s="8" t="str">
        <f>IF(ISERROR(VLOOKUP(M3U[[#This Row],[ID]]&amp;"-"&amp;M3U[[#This Row],[Q]],STREAM[[#All],[SID]],1,0)),"✗","✓")</f>
        <v>✗</v>
      </c>
      <c r="J215" t="str">
        <f>IFERROR(VLOOKUP(M3U[[#This Row],[ID]]&amp;"-"&amp;M3U[[#This Row],[Q]],STREAM[],5,0),"-")</f>
        <v>-</v>
      </c>
      <c r="K215" t="str">
        <f>IFERROR(VLOOKUP(M3U[[#This Row],[ID]]&amp;"-"&amp;M3U[[#This Row],[Q]],STREAM[],6,0),"-")</f>
        <v>-</v>
      </c>
      <c r="L215" t="b">
        <v>1</v>
      </c>
    </row>
    <row r="216" spans="1:12" hidden="1" x14ac:dyDescent="0.55000000000000004">
      <c r="A216" t="s">
        <v>894</v>
      </c>
      <c r="B216" s="2" t="s">
        <v>628</v>
      </c>
      <c r="C216" s="8" t="str">
        <f>IF(ISERROR(VLOOKUP(M3U[[#This Row],[TVGID]],GUIDE[[#All],[TVGID]],1,0)),"✗","✓")</f>
        <v>✓</v>
      </c>
      <c r="D216">
        <v>807</v>
      </c>
      <c r="E216" t="s">
        <v>321</v>
      </c>
      <c r="F21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NHK World Japan</v>
      </c>
      <c r="G216" s="5" t="str">
        <f>IFERROR(IFERROR(VLOOKUP(M3U[[#This Row],[ID]],CHANNEL[#All],4,0),VLOOKUP(M3U[[#This Row],[ID]],CHANNEL_EXT[#All],4,0)),"-")</f>
        <v>https://images.maxstream.tv/sites/default/files/entry/0_mgr46jjf/landscape_carousel_hdpi.webp</v>
      </c>
      <c r="H216" s="4" t="str">
        <f>IFERROR(IFERROR(VLOOKUP(M3U[[#This Row],[ID]],CHANNEL[#All],3,0),VLOOKUP(M3U[[#This Row],[ID]],CHANNEL_EXT[#All],3,0)),"-")</f>
        <v>Gen Ent &amp; Series</v>
      </c>
      <c r="I216" s="8" t="str">
        <f>IF(ISERROR(VLOOKUP(M3U[[#This Row],[ID]]&amp;"-"&amp;M3U[[#This Row],[Q]],STREAM[[#All],[SID]],1,0)),"✗","✓")</f>
        <v>✗</v>
      </c>
      <c r="J216" t="str">
        <f>IFERROR(VLOOKUP(M3U[[#This Row],[ID]]&amp;"-"&amp;M3U[[#This Row],[Q]],STREAM[],5,0),"-")</f>
        <v>-</v>
      </c>
      <c r="K216" t="str">
        <f>IFERROR(VLOOKUP(M3U[[#This Row],[ID]]&amp;"-"&amp;M3U[[#This Row],[Q]],STREAM[],6,0),"-")</f>
        <v>-</v>
      </c>
      <c r="L216" t="b">
        <v>0</v>
      </c>
    </row>
    <row r="217" spans="1:12" x14ac:dyDescent="0.55000000000000004">
      <c r="A217" t="s">
        <v>894</v>
      </c>
      <c r="B217" s="2" t="s">
        <v>628</v>
      </c>
      <c r="C217" s="8" t="str">
        <f>IF(ISERROR(VLOOKUP(M3U[[#This Row],[TVGID]],GUIDE[[#All],[TVGID]],1,0)),"✗","✓")</f>
        <v>✓</v>
      </c>
      <c r="D217">
        <v>807</v>
      </c>
      <c r="E217" t="s">
        <v>271</v>
      </c>
      <c r="F21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NHK World Japan HD</v>
      </c>
      <c r="G217" s="5" t="str">
        <f>IFERROR(IFERROR(VLOOKUP(M3U[[#This Row],[ID]],CHANNEL[#All],4,0),VLOOKUP(M3U[[#This Row],[ID]],CHANNEL_EXT[#All],4,0)),"-")</f>
        <v>https://images.maxstream.tv/sites/default/files/entry/0_mgr46jjf/landscape_carousel_hdpi.webp</v>
      </c>
      <c r="H217" s="4" t="str">
        <f>IFERROR(IFERROR(VLOOKUP(M3U[[#This Row],[ID]],CHANNEL[#All],3,0),VLOOKUP(M3U[[#This Row],[ID]],CHANNEL_EXT[#All],3,0)),"-")</f>
        <v>Gen Ent &amp; Series</v>
      </c>
      <c r="I217" s="8" t="str">
        <f>IF(ISERROR(VLOOKUP(M3U[[#This Row],[ID]]&amp;"-"&amp;M3U[[#This Row],[Q]],STREAM[[#All],[SID]],1,0)),"✗","✓")</f>
        <v>✗</v>
      </c>
      <c r="J217" t="str">
        <f>IFERROR(VLOOKUP(M3U[[#This Row],[ID]]&amp;"-"&amp;M3U[[#This Row],[Q]],STREAM[],5,0),"-")</f>
        <v>-</v>
      </c>
      <c r="K217" t="str">
        <f>IFERROR(VLOOKUP(M3U[[#This Row],[ID]]&amp;"-"&amp;M3U[[#This Row],[Q]],STREAM[],6,0),"-")</f>
        <v>-</v>
      </c>
      <c r="L217" t="b">
        <v>1</v>
      </c>
    </row>
    <row r="218" spans="1:12" hidden="1" x14ac:dyDescent="0.55000000000000004">
      <c r="A218" t="s">
        <v>885</v>
      </c>
      <c r="B218" s="2" t="s">
        <v>376</v>
      </c>
      <c r="C218" s="8" t="str">
        <f>IF(ISERROR(VLOOKUP(M3U[[#This Row],[TVGID]],GUIDE[[#All],[TVGID]],1,0)),"✗","✓")</f>
        <v>✓</v>
      </c>
      <c r="D218">
        <v>808</v>
      </c>
      <c r="E218" t="s">
        <v>321</v>
      </c>
      <c r="F21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DW English</v>
      </c>
      <c r="G218" s="5" t="str">
        <f>IFERROR(IFERROR(VLOOKUP(M3U[[#This Row],[ID]],CHANNEL[#All],4,0),VLOOKUP(M3U[[#This Row],[ID]],CHANNEL_EXT[#All],4,0)),"-")</f>
        <v>https://images.maxstream.tv/sites/default/files/entry/0_urjthrku/landscape_carousel_hdpi.webp</v>
      </c>
      <c r="H218" s="4" t="str">
        <f>IFERROR(IFERROR(VLOOKUP(M3U[[#This Row],[ID]],CHANNEL[#All],3,0),VLOOKUP(M3U[[#This Row],[ID]],CHANNEL_EXT[#All],3,0)),"-")</f>
        <v>News</v>
      </c>
      <c r="I218" s="8" t="str">
        <f>IF(ISERROR(VLOOKUP(M3U[[#This Row],[ID]]&amp;"-"&amp;M3U[[#This Row],[Q]],STREAM[[#All],[SID]],1,0)),"✗","✓")</f>
        <v>✗</v>
      </c>
      <c r="J218" t="str">
        <f>IFERROR(VLOOKUP(M3U[[#This Row],[ID]]&amp;"-"&amp;M3U[[#This Row],[Q]],STREAM[],5,0),"-")</f>
        <v>-</v>
      </c>
      <c r="K218" t="str">
        <f>IFERROR(VLOOKUP(M3U[[#This Row],[ID]]&amp;"-"&amp;M3U[[#This Row],[Q]],STREAM[],6,0),"-")</f>
        <v>-</v>
      </c>
      <c r="L218" t="b">
        <v>0</v>
      </c>
    </row>
    <row r="219" spans="1:12" x14ac:dyDescent="0.55000000000000004">
      <c r="A219" t="s">
        <v>885</v>
      </c>
      <c r="B219" s="2" t="s">
        <v>376</v>
      </c>
      <c r="C219" s="8" t="str">
        <f>IF(ISERROR(VLOOKUP(M3U[[#This Row],[TVGID]],GUIDE[[#All],[TVGID]],1,0)),"✗","✓")</f>
        <v>✓</v>
      </c>
      <c r="D219">
        <v>808</v>
      </c>
      <c r="E219" t="s">
        <v>271</v>
      </c>
      <c r="F21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DW English HD</v>
      </c>
      <c r="G219" s="5" t="str">
        <f>IFERROR(IFERROR(VLOOKUP(M3U[[#This Row],[ID]],CHANNEL[#All],4,0),VLOOKUP(M3U[[#This Row],[ID]],CHANNEL_EXT[#All],4,0)),"-")</f>
        <v>https://images.maxstream.tv/sites/default/files/entry/0_urjthrku/landscape_carousel_hdpi.webp</v>
      </c>
      <c r="H219" s="4" t="str">
        <f>IFERROR(IFERROR(VLOOKUP(M3U[[#This Row],[ID]],CHANNEL[#All],3,0),VLOOKUP(M3U[[#This Row],[ID]],CHANNEL_EXT[#All],3,0)),"-")</f>
        <v>News</v>
      </c>
      <c r="I219" s="8" t="str">
        <f>IF(ISERROR(VLOOKUP(M3U[[#This Row],[ID]]&amp;"-"&amp;M3U[[#This Row],[Q]],STREAM[[#All],[SID]],1,0)),"✗","✓")</f>
        <v>✗</v>
      </c>
      <c r="J219" t="str">
        <f>IFERROR(VLOOKUP(M3U[[#This Row],[ID]]&amp;"-"&amp;M3U[[#This Row],[Q]],STREAM[],5,0),"-")</f>
        <v>-</v>
      </c>
      <c r="K219" t="str">
        <f>IFERROR(VLOOKUP(M3U[[#This Row],[ID]]&amp;"-"&amp;M3U[[#This Row],[Q]],STREAM[],6,0),"-")</f>
        <v>-</v>
      </c>
      <c r="L219" t="b">
        <v>1</v>
      </c>
    </row>
    <row r="220" spans="1:12" x14ac:dyDescent="0.55000000000000004">
      <c r="A220" t="s">
        <v>902</v>
      </c>
      <c r="B220" s="2" t="s">
        <v>629</v>
      </c>
      <c r="C220" s="8" t="str">
        <f>IF(ISERROR(VLOOKUP(M3U[[#This Row],[TVGID]],GUIDE[[#All],[TVGID]],1,0)),"✗","✓")</f>
        <v>✓</v>
      </c>
      <c r="D220">
        <v>809</v>
      </c>
      <c r="E220" t="s">
        <v>271</v>
      </c>
      <c r="F22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TVBS News HD</v>
      </c>
      <c r="G220" s="5" t="str">
        <f>IFERROR(IFERROR(VLOOKUP(M3U[[#This Row],[ID]],CHANNEL[#All],4,0),VLOOKUP(M3U[[#This Row],[ID]],CHANNEL_EXT[#All],4,0)),"-")</f>
        <v>https://images.maxstream.tv/sites/default/files/entry/0_kp6grg1f/landscape_carousel_hdpi.webp</v>
      </c>
      <c r="H220" s="4" t="str">
        <f>IFERROR(IFERROR(VLOOKUP(M3U[[#This Row],[ID]],CHANNEL[#All],3,0),VLOOKUP(M3U[[#This Row],[ID]],CHANNEL_EXT[#All],3,0)),"-")</f>
        <v>News</v>
      </c>
      <c r="I220" s="8" t="str">
        <f>IF(ISERROR(VLOOKUP(M3U[[#This Row],[ID]]&amp;"-"&amp;M3U[[#This Row],[Q]],STREAM[[#All],[SID]],1,0)),"✗","✓")</f>
        <v>✗</v>
      </c>
      <c r="J220" t="str">
        <f>IFERROR(VLOOKUP(M3U[[#This Row],[ID]]&amp;"-"&amp;M3U[[#This Row],[Q]],STREAM[],5,0),"-")</f>
        <v>-</v>
      </c>
      <c r="K220" t="str">
        <f>IFERROR(VLOOKUP(M3U[[#This Row],[ID]]&amp;"-"&amp;M3U[[#This Row],[Q]],STREAM[],6,0),"-")</f>
        <v>-</v>
      </c>
      <c r="L220" t="b">
        <v>1</v>
      </c>
    </row>
    <row r="221" spans="1:12" x14ac:dyDescent="0.55000000000000004">
      <c r="A221" t="s">
        <v>317</v>
      </c>
      <c r="B221" s="2" t="s">
        <v>631</v>
      </c>
      <c r="C221" s="8" t="str">
        <f>IF(ISERROR(VLOOKUP(M3U[[#This Row],[TVGID]],GUIDE[[#All],[TVGID]],1,0)),"✗","✓")</f>
        <v>✓</v>
      </c>
      <c r="D221">
        <v>810</v>
      </c>
      <c r="E221" t="s">
        <v>271</v>
      </c>
      <c r="F22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Phoenix Info News HD</v>
      </c>
      <c r="G221" s="5" t="str">
        <f>IFERROR(IFERROR(VLOOKUP(M3U[[#This Row],[ID]],CHANNEL[#All],4,0),VLOOKUP(M3U[[#This Row],[ID]],CHANNEL_EXT[#All],4,0)),"-")</f>
        <v>https://images.maxstream.tv/sites/default/files/entry/0_40isuyzv/landscape_carousel_hdpi.webp</v>
      </c>
      <c r="H221" s="4" t="str">
        <f>IFERROR(IFERROR(VLOOKUP(M3U[[#This Row],[ID]],CHANNEL[#All],3,0),VLOOKUP(M3U[[#This Row],[ID]],CHANNEL_EXT[#All],3,0)),"-")</f>
        <v>News</v>
      </c>
      <c r="I221" s="8" t="str">
        <f>IF(ISERROR(VLOOKUP(M3U[[#This Row],[ID]]&amp;"-"&amp;M3U[[#This Row],[Q]],STREAM[[#All],[SID]],1,0)),"✗","✓")</f>
        <v>✗</v>
      </c>
      <c r="J221" t="str">
        <f>IFERROR(VLOOKUP(M3U[[#This Row],[ID]]&amp;"-"&amp;M3U[[#This Row],[Q]],STREAM[],5,0),"-")</f>
        <v>-</v>
      </c>
      <c r="K221" t="str">
        <f>IFERROR(VLOOKUP(M3U[[#This Row],[ID]]&amp;"-"&amp;M3U[[#This Row],[Q]],STREAM[],6,0),"-")</f>
        <v>-</v>
      </c>
      <c r="L221" t="b">
        <v>1</v>
      </c>
    </row>
    <row r="222" spans="1:12" x14ac:dyDescent="0.55000000000000004">
      <c r="A222" t="s">
        <v>370</v>
      </c>
      <c r="B222" s="2" t="s">
        <v>654</v>
      </c>
      <c r="C222" s="8" t="str">
        <f>IF(ISERROR(VLOOKUP(M3U[[#This Row],[TVGID]],GUIDE[[#All],[TVGID]],1,0)),"✗","✓")</f>
        <v>✓</v>
      </c>
      <c r="D222">
        <v>811</v>
      </c>
      <c r="E222" t="s">
        <v>271</v>
      </c>
      <c r="F22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Russia Today HD</v>
      </c>
      <c r="G222" s="5" t="str">
        <f>IFERROR(IFERROR(VLOOKUP(M3U[[#This Row],[ID]],CHANNEL[#All],4,0),VLOOKUP(M3U[[#This Row],[ID]],CHANNEL_EXT[#All],4,0)),"-")</f>
        <v>https://images.indihometv.com/images/channels/imageCir_180x180-CL-RT_2025_10_24_15_49_57.jpg</v>
      </c>
      <c r="H222" s="4" t="str">
        <f>IFERROR(IFERROR(VLOOKUP(M3U[[#This Row],[ID]],CHANNEL[#All],3,0),VLOOKUP(M3U[[#This Row],[ID]],CHANNEL_EXT[#All],3,0)),"-")</f>
        <v>News</v>
      </c>
      <c r="I222" s="8" t="str">
        <f>IF(ISERROR(VLOOKUP(M3U[[#This Row],[ID]]&amp;"-"&amp;M3U[[#This Row],[Q]],STREAM[[#All],[SID]],1,0)),"✗","✓")</f>
        <v>✗</v>
      </c>
      <c r="J222" t="str">
        <f>IFERROR(VLOOKUP(M3U[[#This Row],[ID]]&amp;"-"&amp;M3U[[#This Row],[Q]],STREAM[],5,0),"-")</f>
        <v>-</v>
      </c>
      <c r="K222" t="str">
        <f>IFERROR(VLOOKUP(M3U[[#This Row],[ID]]&amp;"-"&amp;M3U[[#This Row],[Q]],STREAM[],6,0),"-")</f>
        <v>-</v>
      </c>
      <c r="L222" t="b">
        <v>1</v>
      </c>
    </row>
    <row r="223" spans="1:12" x14ac:dyDescent="0.55000000000000004">
      <c r="A223" t="s">
        <v>901</v>
      </c>
      <c r="B223" s="2" t="s">
        <v>1202</v>
      </c>
      <c r="C223" s="9" t="str">
        <f>IF(ISERROR(VLOOKUP(M3U[[#This Row],[TVGID]],GUIDE[[#All],[TVGID]],1,0)),"✗","✓")</f>
        <v>✓</v>
      </c>
      <c r="D223">
        <v>812</v>
      </c>
      <c r="E223" t="s">
        <v>271</v>
      </c>
      <c r="F22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The Indonesia Channel HD</v>
      </c>
      <c r="G223" s="5" t="str">
        <f>IFERROR(IFERROR(VLOOKUP(M3U[[#This Row],[ID]],CHANNEL[#All],4,0),VLOOKUP(M3U[[#This Row],[ID]],CHANNEL_EXT[#All],4,0)),"-")</f>
        <v>https://images.maxstream.tv/sites/default/files/entry/0_cms3x58k/landscape_carousel_hdpi.webp</v>
      </c>
      <c r="H223" s="4" t="str">
        <f>IFERROR(IFERROR(VLOOKUP(M3U[[#This Row],[ID]],CHANNEL[#All],3,0),VLOOKUP(M3U[[#This Row],[ID]],CHANNEL_EXT[#All],3,0)),"-")</f>
        <v>News</v>
      </c>
      <c r="I223" s="9" t="str">
        <f>IF(ISERROR(VLOOKUP(M3U[[#This Row],[ID]]&amp;"-"&amp;M3U[[#This Row],[Q]],STREAM[[#All],[SID]],1,0)),"✗","✓")</f>
        <v>✗</v>
      </c>
      <c r="J223" t="str">
        <f>IFERROR(VLOOKUP(M3U[[#This Row],[ID]]&amp;"-"&amp;M3U[[#This Row],[Q]],STREAM[],5,0),"-")</f>
        <v>-</v>
      </c>
      <c r="K223" t="str">
        <f>IFERROR(VLOOKUP(M3U[[#This Row],[ID]]&amp;"-"&amp;M3U[[#This Row],[Q]],STREAM[],6,0),"-")</f>
        <v>-</v>
      </c>
      <c r="L223" t="b">
        <v>1</v>
      </c>
    </row>
    <row r="224" spans="1:12" x14ac:dyDescent="0.55000000000000004">
      <c r="A224" t="s">
        <v>643</v>
      </c>
      <c r="B224" s="2" t="s">
        <v>915</v>
      </c>
      <c r="C224" s="8" t="str">
        <f>IF(ISERROR(VLOOKUP(M3U[[#This Row],[TVGID]],GUIDE[[#All],[TVGID]],1,0)),"✗","✓")</f>
        <v>✓</v>
      </c>
      <c r="D224">
        <v>816</v>
      </c>
      <c r="E224" t="s">
        <v>271</v>
      </c>
      <c r="F22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BBC News HD</v>
      </c>
      <c r="G224" s="5" t="str">
        <f>IFERROR(IFERROR(VLOOKUP(M3U[[#This Row],[ID]],CHANNEL[#All],4,0),VLOOKUP(M3U[[#This Row],[ID]],CHANNEL_EXT[#All],4,0)),"-")</f>
        <v>https://images.maxstream.tv/sites/default/files/entry/0_14pjqs63/landscape_carousel_hdpi.webp</v>
      </c>
      <c r="H224" s="4" t="str">
        <f>IFERROR(IFERROR(VLOOKUP(M3U[[#This Row],[ID]],CHANNEL[#All],3,0),VLOOKUP(M3U[[#This Row],[ID]],CHANNEL_EXT[#All],3,0)),"-")</f>
        <v>News</v>
      </c>
      <c r="I224" s="8" t="str">
        <f>IF(ISERROR(VLOOKUP(M3U[[#This Row],[ID]]&amp;"-"&amp;M3U[[#This Row],[Q]],STREAM[[#All],[SID]],1,0)),"✗","✓")</f>
        <v>✗</v>
      </c>
      <c r="J224" t="str">
        <f>IFERROR(VLOOKUP(M3U[[#This Row],[ID]]&amp;"-"&amp;M3U[[#This Row],[Q]],STREAM[],5,0),"-")</f>
        <v>-</v>
      </c>
      <c r="K224" t="str">
        <f>IFERROR(VLOOKUP(M3U[[#This Row],[ID]]&amp;"-"&amp;M3U[[#This Row],[Q]],STREAM[],6,0),"-")</f>
        <v>-</v>
      </c>
      <c r="L224" t="b">
        <v>1</v>
      </c>
    </row>
    <row r="225" spans="1:12" x14ac:dyDescent="0.55000000000000004">
      <c r="A225" t="s">
        <v>2232</v>
      </c>
      <c r="B225" s="2" t="s">
        <v>914</v>
      </c>
      <c r="C225" s="8" t="str">
        <f>IF(ISERROR(VLOOKUP(M3U[[#This Row],[TVGID]],GUIDE[[#All],[TVGID]],1,0)),"✗","✓")</f>
        <v>✓</v>
      </c>
      <c r="D225">
        <v>850</v>
      </c>
      <c r="E225" t="s">
        <v>321</v>
      </c>
      <c r="F22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Al Quran Al Kareem</v>
      </c>
      <c r="G225" s="5" t="str">
        <f>IFERROR(IFERROR(VLOOKUP(M3U[[#This Row],[ID]],CHANNEL[#All],4,0),VLOOKUP(M3U[[#This Row],[ID]],CHANNEL_EXT[#All],4,0)),"-")</f>
        <v>https://images.maxstream.tv/sites/default/files/entry/0_bhma6pov/landscape_carousel_hdpi.webp</v>
      </c>
      <c r="H225" s="4" t="str">
        <f>IFERROR(IFERROR(VLOOKUP(M3U[[#This Row],[ID]],CHANNEL[#All],3,0),VLOOKUP(M3U[[#This Row],[ID]],CHANNEL_EXT[#All],3,0)),"-")</f>
        <v>Religious</v>
      </c>
      <c r="I225" s="8" t="str">
        <f>IF(ISERROR(VLOOKUP(M3U[[#This Row],[ID]]&amp;"-"&amp;M3U[[#This Row],[Q]],STREAM[[#All],[SID]],1,0)),"✗","✓")</f>
        <v>✗</v>
      </c>
      <c r="J225" t="str">
        <f>IFERROR(VLOOKUP(M3U[[#This Row],[ID]]&amp;"-"&amp;M3U[[#This Row],[Q]],STREAM[],5,0),"-")</f>
        <v>-</v>
      </c>
      <c r="K225" t="str">
        <f>IFERROR(VLOOKUP(M3U[[#This Row],[ID]]&amp;"-"&amp;M3U[[#This Row],[Q]],STREAM[],6,0),"-")</f>
        <v>-</v>
      </c>
      <c r="L225" t="b">
        <v>1</v>
      </c>
    </row>
    <row r="226" spans="1:12" x14ac:dyDescent="0.55000000000000004">
      <c r="A226" t="s">
        <v>257</v>
      </c>
      <c r="B226" s="2" t="s">
        <v>632</v>
      </c>
      <c r="C226" s="8" t="str">
        <f>IF(ISERROR(VLOOKUP(M3U[[#This Row],[TVGID]],GUIDE[[#All],[TVGID]],1,0)),"✗","✓")</f>
        <v>✓</v>
      </c>
      <c r="D226">
        <v>852</v>
      </c>
      <c r="E226" t="s">
        <v>321</v>
      </c>
      <c r="F22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Rodja TV</v>
      </c>
      <c r="G226" s="5" t="str">
        <f>IFERROR(IFERROR(VLOOKUP(M3U[[#This Row],[ID]],CHANNEL[#All],4,0),VLOOKUP(M3U[[#This Row],[ID]],CHANNEL_EXT[#All],4,0)),"-")</f>
        <v>https://images.maxstream.tv/sites/default/files/entry/0_9km1pl2v/landscape_carousel_hdpi.webp</v>
      </c>
      <c r="H226" s="4" t="str">
        <f>IFERROR(IFERROR(VLOOKUP(M3U[[#This Row],[ID]],CHANNEL[#All],3,0),VLOOKUP(M3U[[#This Row],[ID]],CHANNEL_EXT[#All],3,0)),"-")</f>
        <v>Religious</v>
      </c>
      <c r="I226" s="8" t="str">
        <f>IF(ISERROR(VLOOKUP(M3U[[#This Row],[ID]]&amp;"-"&amp;M3U[[#This Row],[Q]],STREAM[[#All],[SID]],1,0)),"✗","✓")</f>
        <v>✗</v>
      </c>
      <c r="J226" t="str">
        <f>IFERROR(VLOOKUP(M3U[[#This Row],[ID]]&amp;"-"&amp;M3U[[#This Row],[Q]],STREAM[],5,0),"-")</f>
        <v>-</v>
      </c>
      <c r="K226" t="str">
        <f>IFERROR(VLOOKUP(M3U[[#This Row],[ID]]&amp;"-"&amp;M3U[[#This Row],[Q]],STREAM[],6,0),"-")</f>
        <v>-</v>
      </c>
      <c r="L226" t="b">
        <v>1</v>
      </c>
    </row>
    <row r="227" spans="1:12" x14ac:dyDescent="0.55000000000000004">
      <c r="A227" t="s">
        <v>252</v>
      </c>
      <c r="B227" s="2" t="s">
        <v>634</v>
      </c>
      <c r="C227" s="8" t="str">
        <f>IF(ISERROR(VLOOKUP(M3U[[#This Row],[TVGID]],GUIDE[[#All],[TVGID]],1,0)),"✗","✓")</f>
        <v>✓</v>
      </c>
      <c r="D227">
        <v>854</v>
      </c>
      <c r="E227" t="s">
        <v>321</v>
      </c>
      <c r="F22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MQTV</v>
      </c>
      <c r="G227" s="5" t="str">
        <f>IFERROR(IFERROR(VLOOKUP(M3U[[#This Row],[ID]],CHANNEL[#All],4,0),VLOOKUP(M3U[[#This Row],[ID]],CHANNEL_EXT[#All],4,0)),"-")</f>
        <v>https://images.maxstream.tv/sites/default/files/entry/0_voqn75wc/landscape_carousel_hdpi.webp</v>
      </c>
      <c r="H227" s="4" t="str">
        <f>IFERROR(IFERROR(VLOOKUP(M3U[[#This Row],[ID]],CHANNEL[#All],3,0),VLOOKUP(M3U[[#This Row],[ID]],CHANNEL_EXT[#All],3,0)),"-")</f>
        <v>Religious</v>
      </c>
      <c r="I227" s="8" t="str">
        <f>IF(ISERROR(VLOOKUP(M3U[[#This Row],[ID]]&amp;"-"&amp;M3U[[#This Row],[Q]],STREAM[[#All],[SID]],1,0)),"✗","✓")</f>
        <v>✗</v>
      </c>
      <c r="J227" t="str">
        <f>IFERROR(VLOOKUP(M3U[[#This Row],[ID]]&amp;"-"&amp;M3U[[#This Row],[Q]],STREAM[],5,0),"-")</f>
        <v>-</v>
      </c>
      <c r="K227" t="str">
        <f>IFERROR(VLOOKUP(M3U[[#This Row],[ID]]&amp;"-"&amp;M3U[[#This Row],[Q]],STREAM[],6,0),"-")</f>
        <v>-</v>
      </c>
      <c r="L227" t="b">
        <v>1</v>
      </c>
    </row>
    <row r="228" spans="1:12" x14ac:dyDescent="0.55000000000000004">
      <c r="A228" t="s">
        <v>259</v>
      </c>
      <c r="B228" s="2" t="s">
        <v>635</v>
      </c>
      <c r="C228" s="8" t="str">
        <f>IF(ISERROR(VLOOKUP(M3U[[#This Row],[TVGID]],GUIDE[[#All],[TVGID]],1,0)),"✗","✓")</f>
        <v>✓</v>
      </c>
      <c r="D228">
        <v>855</v>
      </c>
      <c r="E228" t="s">
        <v>321</v>
      </c>
      <c r="F22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TV9</v>
      </c>
      <c r="G228" s="5" t="str">
        <f>IFERROR(IFERROR(VLOOKUP(M3U[[#This Row],[ID]],CHANNEL[#All],4,0),VLOOKUP(M3U[[#This Row],[ID]],CHANNEL_EXT[#All],4,0)),"-")</f>
        <v>https://images.maxstream.tv/sites/default/files/entry/0_cbqtpojf/landscape_carousel_hdpi.webp</v>
      </c>
      <c r="H228" s="4" t="str">
        <f>IFERROR(IFERROR(VLOOKUP(M3U[[#This Row],[ID]],CHANNEL[#All],3,0),VLOOKUP(M3U[[#This Row],[ID]],CHANNEL_EXT[#All],3,0)),"-")</f>
        <v>Religious</v>
      </c>
      <c r="I228" s="8" t="str">
        <f>IF(ISERROR(VLOOKUP(M3U[[#This Row],[ID]]&amp;"-"&amp;M3U[[#This Row],[Q]],STREAM[[#All],[SID]],1,0)),"✗","✓")</f>
        <v>✗</v>
      </c>
      <c r="J228" t="str">
        <f>IFERROR(VLOOKUP(M3U[[#This Row],[ID]]&amp;"-"&amp;M3U[[#This Row],[Q]],STREAM[],5,0),"-")</f>
        <v>-</v>
      </c>
      <c r="K228" t="str">
        <f>IFERROR(VLOOKUP(M3U[[#This Row],[ID]]&amp;"-"&amp;M3U[[#This Row],[Q]],STREAM[],6,0),"-")</f>
        <v>-</v>
      </c>
      <c r="L228" t="b">
        <v>1</v>
      </c>
    </row>
    <row r="229" spans="1:12" x14ac:dyDescent="0.55000000000000004">
      <c r="A229" t="s">
        <v>903</v>
      </c>
      <c r="B229" s="2" t="s">
        <v>636</v>
      </c>
      <c r="C229" s="8" t="str">
        <f>IF(ISERROR(VLOOKUP(M3U[[#This Row],[TVGID]],GUIDE[[#All],[TVGID]],1,0)),"✗","✓")</f>
        <v>✓</v>
      </c>
      <c r="D229">
        <v>856</v>
      </c>
      <c r="E229" t="s">
        <v>321</v>
      </c>
      <c r="F22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TV MU</v>
      </c>
      <c r="G229" s="5" t="str">
        <f>IFERROR(IFERROR(VLOOKUP(M3U[[#This Row],[ID]],CHANNEL[#All],4,0),VLOOKUP(M3U[[#This Row],[ID]],CHANNEL_EXT[#All],4,0)),"-")</f>
        <v>https://images.maxstream.tv/sites/default/files/entry/0_j93el3os/landscape_carousel_hdpi.webp</v>
      </c>
      <c r="H229" s="4" t="str">
        <f>IFERROR(IFERROR(VLOOKUP(M3U[[#This Row],[ID]],CHANNEL[#All],3,0),VLOOKUP(M3U[[#This Row],[ID]],CHANNEL_EXT[#All],3,0)),"-")</f>
        <v>Religious</v>
      </c>
      <c r="I229" s="8" t="str">
        <f>IF(ISERROR(VLOOKUP(M3U[[#This Row],[ID]]&amp;"-"&amp;M3U[[#This Row],[Q]],STREAM[[#All],[SID]],1,0)),"✗","✓")</f>
        <v>✗</v>
      </c>
      <c r="J229" t="str">
        <f>IFERROR(VLOOKUP(M3U[[#This Row],[ID]]&amp;"-"&amp;M3U[[#This Row],[Q]],STREAM[],5,0),"-")</f>
        <v>-</v>
      </c>
      <c r="K229" t="str">
        <f>IFERROR(VLOOKUP(M3U[[#This Row],[ID]]&amp;"-"&amp;M3U[[#This Row],[Q]],STREAM[],6,0),"-")</f>
        <v>-</v>
      </c>
      <c r="L229" t="b">
        <v>1</v>
      </c>
    </row>
    <row r="230" spans="1:12" hidden="1" x14ac:dyDescent="0.55000000000000004">
      <c r="A230" t="s">
        <v>281</v>
      </c>
      <c r="B230" s="2" t="s">
        <v>633</v>
      </c>
      <c r="C230" s="8" t="str">
        <f>IF(ISERROR(VLOOKUP(M3U[[#This Row],[TVGID]],GUIDE[[#All],[TVGID]],1,0)),"✗","✓")</f>
        <v>✓</v>
      </c>
      <c r="D230">
        <v>857</v>
      </c>
      <c r="E230" t="s">
        <v>321</v>
      </c>
      <c r="F230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MTA TV</v>
      </c>
      <c r="G230" s="5" t="str">
        <f>IFERROR(IFERROR(VLOOKUP(M3U[[#This Row],[ID]],CHANNEL[#All],4,0),VLOOKUP(M3U[[#This Row],[ID]],CHANNEL_EXT[#All],4,0)),"-")</f>
        <v>https://images.maxstream.tv/sites/default/files/entry/0_5zvla2hz/landscape_carousel_hdpi.webp</v>
      </c>
      <c r="H230" s="4" t="str">
        <f>IFERROR(IFERROR(VLOOKUP(M3U[[#This Row],[ID]],CHANNEL[#All],3,0),VLOOKUP(M3U[[#This Row],[ID]],CHANNEL_EXT[#All],3,0)),"-")</f>
        <v>Religious</v>
      </c>
      <c r="I230" s="8" t="str">
        <f>IF(ISERROR(VLOOKUP(M3U[[#This Row],[ID]]&amp;"-"&amp;M3U[[#This Row],[Q]],STREAM[[#All],[SID]],1,0)),"✗","✓")</f>
        <v>✗</v>
      </c>
      <c r="J230" t="str">
        <f>IFERROR(VLOOKUP(M3U[[#This Row],[ID]]&amp;"-"&amp;M3U[[#This Row],[Q]],STREAM[],5,0),"-")</f>
        <v>-</v>
      </c>
      <c r="K230" t="str">
        <f>IFERROR(VLOOKUP(M3U[[#This Row],[ID]]&amp;"-"&amp;M3U[[#This Row],[Q]],STREAM[],6,0),"-")</f>
        <v>-</v>
      </c>
      <c r="L230" t="b">
        <v>0</v>
      </c>
    </row>
    <row r="231" spans="1:12" x14ac:dyDescent="0.55000000000000004">
      <c r="A231" t="s">
        <v>281</v>
      </c>
      <c r="B231" s="2" t="s">
        <v>633</v>
      </c>
      <c r="C231" s="8" t="str">
        <f>IF(ISERROR(VLOOKUP(M3U[[#This Row],[TVGID]],GUIDE[[#All],[TVGID]],1,0)),"✗","✓")</f>
        <v>✓</v>
      </c>
      <c r="D231">
        <v>857</v>
      </c>
      <c r="E231" t="s">
        <v>271</v>
      </c>
      <c r="F231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MTA TV HD</v>
      </c>
      <c r="G231" s="5" t="str">
        <f>IFERROR(IFERROR(VLOOKUP(M3U[[#This Row],[ID]],CHANNEL[#All],4,0),VLOOKUP(M3U[[#This Row],[ID]],CHANNEL_EXT[#All],4,0)),"-")</f>
        <v>https://images.maxstream.tv/sites/default/files/entry/0_5zvla2hz/landscape_carousel_hdpi.webp</v>
      </c>
      <c r="H231" s="4" t="str">
        <f>IFERROR(IFERROR(VLOOKUP(M3U[[#This Row],[ID]],CHANNEL[#All],3,0),VLOOKUP(M3U[[#This Row],[ID]],CHANNEL_EXT[#All],3,0)),"-")</f>
        <v>Religious</v>
      </c>
      <c r="I231" s="8" t="str">
        <f>IF(ISERROR(VLOOKUP(M3U[[#This Row],[ID]]&amp;"-"&amp;M3U[[#This Row],[Q]],STREAM[[#All],[SID]],1,0)),"✗","✓")</f>
        <v>✗</v>
      </c>
      <c r="J231" t="str">
        <f>IFERROR(VLOOKUP(M3U[[#This Row],[ID]]&amp;"-"&amp;M3U[[#This Row],[Q]],STREAM[],5,0),"-")</f>
        <v>-</v>
      </c>
      <c r="K231" t="str">
        <f>IFERROR(VLOOKUP(M3U[[#This Row],[ID]]&amp;"-"&amp;M3U[[#This Row],[Q]],STREAM[],6,0),"-")</f>
        <v>-</v>
      </c>
      <c r="L231" t="b">
        <v>1</v>
      </c>
    </row>
    <row r="232" spans="1:12" hidden="1" x14ac:dyDescent="0.55000000000000004">
      <c r="A232" t="s">
        <v>884</v>
      </c>
      <c r="B232" s="2" t="s">
        <v>923</v>
      </c>
      <c r="C232" s="8" t="str">
        <f>IF(ISERROR(VLOOKUP(M3U[[#This Row],[TVGID]],GUIDE[[#All],[TVGID]],1,0)),"✗","✓")</f>
        <v>✓</v>
      </c>
      <c r="D232">
        <v>858</v>
      </c>
      <c r="E232" t="s">
        <v>321</v>
      </c>
      <c r="F232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DMI TV</v>
      </c>
      <c r="G232" s="5" t="str">
        <f>IFERROR(IFERROR(VLOOKUP(M3U[[#This Row],[ID]],CHANNEL[#All],4,0),VLOOKUP(M3U[[#This Row],[ID]],CHANNEL_EXT[#All],4,0)),"-")</f>
        <v>https://images.maxstream.tv/sites/default/files/entry/0_muy891nb/landscape_carousel_hdpi.webp</v>
      </c>
      <c r="H232" s="4" t="str">
        <f>IFERROR(IFERROR(VLOOKUP(M3U[[#This Row],[ID]],CHANNEL[#All],3,0),VLOOKUP(M3U[[#This Row],[ID]],CHANNEL_EXT[#All],3,0)),"-")</f>
        <v>Religious</v>
      </c>
      <c r="I232" s="8" t="str">
        <f>IF(ISERROR(VLOOKUP(M3U[[#This Row],[ID]]&amp;"-"&amp;M3U[[#This Row],[Q]],STREAM[[#All],[SID]],1,0)),"✗","✓")</f>
        <v>✗</v>
      </c>
      <c r="J232" t="str">
        <f>IFERROR(VLOOKUP(M3U[[#This Row],[ID]]&amp;"-"&amp;M3U[[#This Row],[Q]],STREAM[],5,0),"-")</f>
        <v>-</v>
      </c>
      <c r="K232" t="str">
        <f>IFERROR(VLOOKUP(M3U[[#This Row],[ID]]&amp;"-"&amp;M3U[[#This Row],[Q]],STREAM[],6,0),"-")</f>
        <v>-</v>
      </c>
      <c r="L232" t="b">
        <v>0</v>
      </c>
    </row>
    <row r="233" spans="1:12" x14ac:dyDescent="0.55000000000000004">
      <c r="A233" t="s">
        <v>884</v>
      </c>
      <c r="B233" s="2" t="s">
        <v>923</v>
      </c>
      <c r="C233" s="8" t="str">
        <f>IF(ISERROR(VLOOKUP(M3U[[#This Row],[TVGID]],GUIDE[[#All],[TVGID]],1,0)),"✗","✓")</f>
        <v>✓</v>
      </c>
      <c r="D233">
        <v>858</v>
      </c>
      <c r="E233" t="s">
        <v>271</v>
      </c>
      <c r="F233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DMI TV HD</v>
      </c>
      <c r="G233" s="5" t="str">
        <f>IFERROR(IFERROR(VLOOKUP(M3U[[#This Row],[ID]],CHANNEL[#All],4,0),VLOOKUP(M3U[[#This Row],[ID]],CHANNEL_EXT[#All],4,0)),"-")</f>
        <v>https://images.maxstream.tv/sites/default/files/entry/0_muy891nb/landscape_carousel_hdpi.webp</v>
      </c>
      <c r="H233" s="4" t="str">
        <f>IFERROR(IFERROR(VLOOKUP(M3U[[#This Row],[ID]],CHANNEL[#All],3,0),VLOOKUP(M3U[[#This Row],[ID]],CHANNEL_EXT[#All],3,0)),"-")</f>
        <v>Religious</v>
      </c>
      <c r="I233" s="8" t="str">
        <f>IF(ISERROR(VLOOKUP(M3U[[#This Row],[ID]]&amp;"-"&amp;M3U[[#This Row],[Q]],STREAM[[#All],[SID]],1,0)),"✗","✓")</f>
        <v>✗</v>
      </c>
      <c r="J233" t="str">
        <f>IFERROR(VLOOKUP(M3U[[#This Row],[ID]]&amp;"-"&amp;M3U[[#This Row],[Q]],STREAM[],5,0),"-")</f>
        <v>-</v>
      </c>
      <c r="K233" t="str">
        <f>IFERROR(VLOOKUP(M3U[[#This Row],[ID]]&amp;"-"&amp;M3U[[#This Row],[Q]],STREAM[],6,0),"-")</f>
        <v>-</v>
      </c>
      <c r="L233" t="b">
        <v>1</v>
      </c>
    </row>
    <row r="234" spans="1:12" x14ac:dyDescent="0.55000000000000004">
      <c r="A234" t="s">
        <v>904</v>
      </c>
      <c r="B234" s="2" t="s">
        <v>637</v>
      </c>
      <c r="C234" s="8" t="str">
        <f>IF(ISERROR(VLOOKUP(M3U[[#This Row],[TVGID]],GUIDE[[#All],[TVGID]],1,0)),"✗","✓")</f>
        <v>✓</v>
      </c>
      <c r="D234">
        <v>860</v>
      </c>
      <c r="E234" t="s">
        <v>321</v>
      </c>
      <c r="F234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TV MUI</v>
      </c>
      <c r="G234" s="5" t="str">
        <f>IFERROR(IFERROR(VLOOKUP(M3U[[#This Row],[ID]],CHANNEL[#All],4,0),VLOOKUP(M3U[[#This Row],[ID]],CHANNEL_EXT[#All],4,0)),"-")</f>
        <v>https://images.maxstream.tv/sites/default/files/entry/0_6r3crrac/landscape_carousel_hdpi.webp</v>
      </c>
      <c r="H234" s="4" t="str">
        <f>IFERROR(IFERROR(VLOOKUP(M3U[[#This Row],[ID]],CHANNEL[#All],3,0),VLOOKUP(M3U[[#This Row],[ID]],CHANNEL_EXT[#All],3,0)),"-")</f>
        <v>Religious</v>
      </c>
      <c r="I234" s="8" t="str">
        <f>IF(ISERROR(VLOOKUP(M3U[[#This Row],[ID]]&amp;"-"&amp;M3U[[#This Row],[Q]],STREAM[[#All],[SID]],1,0)),"✗","✓")</f>
        <v>✗</v>
      </c>
      <c r="J234" t="str">
        <f>IFERROR(VLOOKUP(M3U[[#This Row],[ID]]&amp;"-"&amp;M3U[[#This Row],[Q]],STREAM[],5,0),"-")</f>
        <v>-</v>
      </c>
      <c r="K234" t="str">
        <f>IFERROR(VLOOKUP(M3U[[#This Row],[ID]]&amp;"-"&amp;M3U[[#This Row],[Q]],STREAM[],6,0),"-")</f>
        <v>-</v>
      </c>
      <c r="L234" t="b">
        <v>1</v>
      </c>
    </row>
    <row r="235" spans="1:12" x14ac:dyDescent="0.55000000000000004">
      <c r="A235" t="s">
        <v>286</v>
      </c>
      <c r="B235" s="2" t="s">
        <v>598</v>
      </c>
      <c r="C235" s="8" t="str">
        <f>IF(ISERROR(VLOOKUP(M3U[[#This Row],[TVGID]],GUIDE[[#All],[TVGID]],1,0)),"✗","✓")</f>
        <v>✓</v>
      </c>
      <c r="D235">
        <v>891</v>
      </c>
      <c r="E235" t="s">
        <v>330</v>
      </c>
      <c r="F235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HBO Dolby HD</v>
      </c>
      <c r="G235" s="5" t="str">
        <f>IFERROR(IFERROR(VLOOKUP(M3U[[#This Row],[ID]],CHANNEL[#All],4,0),VLOOKUP(M3U[[#This Row],[ID]],CHANNEL_EXT[#All],4,0)),"-")</f>
        <v>https://images.maxstream.tv/sites/default/files/entry/0_xgdr0qbd/landscape_carousel_hdpi.webp</v>
      </c>
      <c r="H235" s="4" t="str">
        <f>IFERROR(IFERROR(VLOOKUP(M3U[[#This Row],[ID]],CHANNEL[#All],3,0),VLOOKUP(M3U[[#This Row],[ID]],CHANNEL_EXT[#All],3,0)),"-")</f>
        <v>Movies and Entertainment</v>
      </c>
      <c r="I235" s="8" t="str">
        <f>IF(ISERROR(VLOOKUP(M3U[[#This Row],[ID]]&amp;"-"&amp;M3U[[#This Row],[Q]],STREAM[[#All],[SID]],1,0)),"✗","✓")</f>
        <v>✗</v>
      </c>
      <c r="J235" t="str">
        <f>IFERROR(VLOOKUP(M3U[[#This Row],[ID]]&amp;"-"&amp;M3U[[#This Row],[Q]],STREAM[],5,0),"-")</f>
        <v>-</v>
      </c>
      <c r="K235" t="str">
        <f>IFERROR(VLOOKUP(M3U[[#This Row],[ID]]&amp;"-"&amp;M3U[[#This Row],[Q]],STREAM[],6,0),"-")</f>
        <v>-</v>
      </c>
      <c r="L235" t="b">
        <v>1</v>
      </c>
    </row>
    <row r="236" spans="1:12" x14ac:dyDescent="0.55000000000000004">
      <c r="A236" t="s">
        <v>288</v>
      </c>
      <c r="B236" s="2" t="s">
        <v>599</v>
      </c>
      <c r="C236" s="8" t="str">
        <f>IF(ISERROR(VLOOKUP(M3U[[#This Row],[TVGID]],GUIDE[[#All],[TVGID]],1,0)),"✗","✓")</f>
        <v>✓</v>
      </c>
      <c r="D236">
        <v>892</v>
      </c>
      <c r="E236" t="s">
        <v>330</v>
      </c>
      <c r="F236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HBO Signature Dolby HD</v>
      </c>
      <c r="G236" s="5" t="str">
        <f>IFERROR(IFERROR(VLOOKUP(M3U[[#This Row],[ID]],CHANNEL[#All],4,0),VLOOKUP(M3U[[#This Row],[ID]],CHANNEL_EXT[#All],4,0)),"-")</f>
        <v>https://images.maxstream.tv/sites/default/files/entry/0_s6bo567h/landscape_carousel_hdpi.webp</v>
      </c>
      <c r="H236" s="4" t="str">
        <f>IFERROR(IFERROR(VLOOKUP(M3U[[#This Row],[ID]],CHANNEL[#All],3,0),VLOOKUP(M3U[[#This Row],[ID]],CHANNEL_EXT[#All],3,0)),"-")</f>
        <v>Movies and Entertainment</v>
      </c>
      <c r="I236" s="8" t="str">
        <f>IF(ISERROR(VLOOKUP(M3U[[#This Row],[ID]]&amp;"-"&amp;M3U[[#This Row],[Q]],STREAM[[#All],[SID]],1,0)),"✗","✓")</f>
        <v>✗</v>
      </c>
      <c r="J236" t="str">
        <f>IFERROR(VLOOKUP(M3U[[#This Row],[ID]]&amp;"-"&amp;M3U[[#This Row],[Q]],STREAM[],5,0),"-")</f>
        <v>-</v>
      </c>
      <c r="K236" t="str">
        <f>IFERROR(VLOOKUP(M3U[[#This Row],[ID]]&amp;"-"&amp;M3U[[#This Row],[Q]],STREAM[],6,0),"-")</f>
        <v>-</v>
      </c>
      <c r="L236" t="b">
        <v>1</v>
      </c>
    </row>
    <row r="237" spans="1:12" x14ac:dyDescent="0.55000000000000004">
      <c r="A237" t="s">
        <v>289</v>
      </c>
      <c r="B237" s="2" t="s">
        <v>601</v>
      </c>
      <c r="C237" s="8" t="str">
        <f>IF(ISERROR(VLOOKUP(M3U[[#This Row],[TVGID]],GUIDE[[#All],[TVGID]],1,0)),"✗","✓")</f>
        <v>✓</v>
      </c>
      <c r="D237">
        <v>893</v>
      </c>
      <c r="E237" t="s">
        <v>330</v>
      </c>
      <c r="F237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HBO Hits Dolby HD</v>
      </c>
      <c r="G237" s="5" t="str">
        <f>IFERROR(IFERROR(VLOOKUP(M3U[[#This Row],[ID]],CHANNEL[#All],4,0),VLOOKUP(M3U[[#This Row],[ID]],CHANNEL_EXT[#All],4,0)),"-")</f>
        <v>https://images.maxstream.tv/sites/default/files/entry/0_k7eh4erk/landscape_carousel_hdpi.webp</v>
      </c>
      <c r="H237" s="4" t="str">
        <f>IFERROR(IFERROR(VLOOKUP(M3U[[#This Row],[ID]],CHANNEL[#All],3,0),VLOOKUP(M3U[[#This Row],[ID]],CHANNEL_EXT[#All],3,0)),"-")</f>
        <v>Movies and Entertainment</v>
      </c>
      <c r="I237" s="8" t="str">
        <f>IF(ISERROR(VLOOKUP(M3U[[#This Row],[ID]]&amp;"-"&amp;M3U[[#This Row],[Q]],STREAM[[#All],[SID]],1,0)),"✗","✓")</f>
        <v>✗</v>
      </c>
      <c r="J237" t="str">
        <f>IFERROR(VLOOKUP(M3U[[#This Row],[ID]]&amp;"-"&amp;M3U[[#This Row],[Q]],STREAM[],5,0),"-")</f>
        <v>-</v>
      </c>
      <c r="K237" t="str">
        <f>IFERROR(VLOOKUP(M3U[[#This Row],[ID]]&amp;"-"&amp;M3U[[#This Row],[Q]],STREAM[],6,0),"-")</f>
        <v>-</v>
      </c>
      <c r="L237" t="b">
        <v>1</v>
      </c>
    </row>
    <row r="238" spans="1:12" x14ac:dyDescent="0.55000000000000004">
      <c r="A238" t="s">
        <v>290</v>
      </c>
      <c r="B238" s="2" t="s">
        <v>602</v>
      </c>
      <c r="C238" s="8" t="str">
        <f>IF(ISERROR(VLOOKUP(M3U[[#This Row],[TVGID]],GUIDE[[#All],[TVGID]],1,0)),"✗","✓")</f>
        <v>✓</v>
      </c>
      <c r="D238">
        <v>894</v>
      </c>
      <c r="E238" t="s">
        <v>330</v>
      </c>
      <c r="F238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HBO Family Dolby HD</v>
      </c>
      <c r="G238" s="5" t="str">
        <f>IFERROR(IFERROR(VLOOKUP(M3U[[#This Row],[ID]],CHANNEL[#All],4,0),VLOOKUP(M3U[[#This Row],[ID]],CHANNEL_EXT[#All],4,0)),"-")</f>
        <v>https://images.maxstream.tv/sites/default/files/entry/0_qqui53si/landscape_carousel_hdpi.webp</v>
      </c>
      <c r="H238" s="4" t="str">
        <f>IFERROR(IFERROR(VLOOKUP(M3U[[#This Row],[ID]],CHANNEL[#All],3,0),VLOOKUP(M3U[[#This Row],[ID]],CHANNEL_EXT[#All],3,0)),"-")</f>
        <v>Movies and Entertainment</v>
      </c>
      <c r="I238" s="8" t="str">
        <f>IF(ISERROR(VLOOKUP(M3U[[#This Row],[ID]]&amp;"-"&amp;M3U[[#This Row],[Q]],STREAM[[#All],[SID]],1,0)),"✗","✓")</f>
        <v>✗</v>
      </c>
      <c r="J238" t="str">
        <f>IFERROR(VLOOKUP(M3U[[#This Row],[ID]]&amp;"-"&amp;M3U[[#This Row],[Q]],STREAM[],5,0),"-")</f>
        <v>-</v>
      </c>
      <c r="K238" t="str">
        <f>IFERROR(VLOOKUP(M3U[[#This Row],[ID]]&amp;"-"&amp;M3U[[#This Row],[Q]],STREAM[],6,0),"-")</f>
        <v>-</v>
      </c>
      <c r="L238" t="b">
        <v>1</v>
      </c>
    </row>
    <row r="239" spans="1:12" x14ac:dyDescent="0.55000000000000004">
      <c r="A239" t="s">
        <v>287</v>
      </c>
      <c r="B239" s="2" t="s">
        <v>600</v>
      </c>
      <c r="C239" s="8" t="str">
        <f>IF(ISERROR(VLOOKUP(M3U[[#This Row],[TVGID]],GUIDE[[#All],[TVGID]],1,0)),"✗","✓")</f>
        <v>✓</v>
      </c>
      <c r="D239">
        <v>895</v>
      </c>
      <c r="E239" t="s">
        <v>330</v>
      </c>
      <c r="F239" s="4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Cinemax Dolby HD</v>
      </c>
      <c r="G239" s="5" t="str">
        <f>IFERROR(IFERROR(VLOOKUP(M3U[[#This Row],[ID]],CHANNEL[#All],4,0),VLOOKUP(M3U[[#This Row],[ID]],CHANNEL_EXT[#All],4,0)),"-")</f>
        <v>https://images.maxstream.tv/sites/default/files/entry/0_7vx2webw/landscape_carousel_hdpi.webp</v>
      </c>
      <c r="H239" s="4" t="str">
        <f>IFERROR(IFERROR(VLOOKUP(M3U[[#This Row],[ID]],CHANNEL[#All],3,0),VLOOKUP(M3U[[#This Row],[ID]],CHANNEL_EXT[#All],3,0)),"-")</f>
        <v>Movies and Entertainment</v>
      </c>
      <c r="I239" s="8" t="str">
        <f>IF(ISERROR(VLOOKUP(M3U[[#This Row],[ID]]&amp;"-"&amp;M3U[[#This Row],[Q]],STREAM[[#All],[SID]],1,0)),"✗","✓")</f>
        <v>✗</v>
      </c>
      <c r="J239" t="str">
        <f>IFERROR(VLOOKUP(M3U[[#This Row],[ID]]&amp;"-"&amp;M3U[[#This Row],[Q]],STREAM[],5,0),"-")</f>
        <v>-</v>
      </c>
      <c r="K239" t="str">
        <f>IFERROR(VLOOKUP(M3U[[#This Row],[ID]]&amp;"-"&amp;M3U[[#This Row],[Q]],STREAM[],6,0),"-")</f>
        <v>-</v>
      </c>
      <c r="L239" t="b">
        <v>1</v>
      </c>
    </row>
  </sheetData>
  <conditionalFormatting sqref="C2:C239 I2:I239">
    <cfRule type="cellIs" dxfId="23" priority="3" operator="equal">
      <formula>"✗"</formula>
    </cfRule>
    <cfRule type="cellIs" dxfId="22" priority="4" operator="equal">
      <formula>"✓"</formula>
    </cfRule>
  </conditionalFormatting>
  <hyperlinks>
    <hyperlink ref="B122" r:id="rId1" xr:uid="{9AA1017D-756D-4D9F-AD43-20AB15DB215E}"/>
    <hyperlink ref="B204" r:id="rId2" xr:uid="{817E7A45-AD98-4E21-B5EB-C39B1084673D}"/>
    <hyperlink ref="B206" r:id="rId3" xr:uid="{CCCED125-DAA4-4805-B3FE-2D2AA0C096E4}"/>
    <hyperlink ref="B214" r:id="rId4" xr:uid="{E1C15A81-3DC7-4F12-9CF8-BD8E943B973B}"/>
    <hyperlink ref="B218" r:id="rId5" xr:uid="{F9975262-4E36-4028-A237-9B694AFB2955}"/>
    <hyperlink ref="B3" r:id="rId6" xr:uid="{BB808B12-4D5D-45F3-ABA5-F06641F8E1CD}"/>
    <hyperlink ref="B5" r:id="rId7" xr:uid="{4634E28A-F3BE-480B-B62F-EDBBFE6E485F}"/>
    <hyperlink ref="B7" r:id="rId8" xr:uid="{2ADF4FB8-B722-4E50-882F-E1436FF2675E}"/>
    <hyperlink ref="B10" r:id="rId9" xr:uid="{E11F6341-AC27-4DEA-91AB-7F4689BDB584}"/>
    <hyperlink ref="B13" r:id="rId10" xr:uid="{5C8CB253-FA21-40F9-85FE-06477FA7688A}"/>
    <hyperlink ref="B15" r:id="rId11" xr:uid="{E19CE8F4-3514-4CFC-A4C0-33A9730A6350}"/>
    <hyperlink ref="B17" r:id="rId12" xr:uid="{FC9C3149-FA1C-4219-B9AC-948E7A3163E8}"/>
    <hyperlink ref="B18" r:id="rId13" xr:uid="{4C9FE0EA-4ECE-44C0-AE9F-B324A51F94AB}"/>
    <hyperlink ref="B20" r:id="rId14" xr:uid="{E5E338A1-3A54-4BDF-8E12-FEDC25C5B54C}"/>
    <hyperlink ref="B22" r:id="rId15" xr:uid="{F4E0D140-3908-46B0-A2D5-EFCD2784352D}"/>
    <hyperlink ref="B29" r:id="rId16" xr:uid="{ACD5C5B0-C151-4C10-BC00-C4B7910A1F4B}"/>
    <hyperlink ref="B31" r:id="rId17" xr:uid="{1C31614D-1CE8-43A9-B462-BEE089A6D96F}"/>
    <hyperlink ref="B24" r:id="rId18" xr:uid="{FF6A44A6-24FA-4D4A-9DA6-A63E30A3FE4D}"/>
    <hyperlink ref="B35" r:id="rId19" xr:uid="{67C783D1-AC8F-45BF-BFEF-7EEE00F88BE4}"/>
    <hyperlink ref="B37" r:id="rId20" xr:uid="{C42E5CF1-E091-4948-9444-4D63CC618E47}"/>
    <hyperlink ref="B39" r:id="rId21" xr:uid="{3B865F1C-AD43-48A1-80F3-4F443A7B4B85}"/>
    <hyperlink ref="B44" r:id="rId22" xr:uid="{5F01EDEA-ABA8-4268-AD85-DBD3EEA9350B}"/>
    <hyperlink ref="B49" r:id="rId23" xr:uid="{52F2256C-CBAD-4A00-A010-92C2BA82860F}"/>
    <hyperlink ref="B46" r:id="rId24" xr:uid="{BFE8E349-5690-4696-9680-5D3ED812CBC6}"/>
    <hyperlink ref="B53" r:id="rId25" xr:uid="{539A431E-0500-47D8-B128-F9D0B70DF63D}"/>
    <hyperlink ref="B55" r:id="rId26" xr:uid="{9F71ADA8-633B-44AE-84AC-0F087B3C0953}"/>
    <hyperlink ref="B66" r:id="rId27" xr:uid="{27067F39-4DAD-4190-ACF2-B3E972F406EA}"/>
    <hyperlink ref="B64" r:id="rId28" xr:uid="{73068D7C-3930-48C9-82AB-310F81D51C77}"/>
    <hyperlink ref="B75" r:id="rId29" xr:uid="{30C104FA-77D9-40B1-8C64-CC6B5FF42DA4}"/>
    <hyperlink ref="B77" r:id="rId30" xr:uid="{A40DDB4D-7734-4D2E-9C21-78D5BBF585AE}"/>
    <hyperlink ref="B79" r:id="rId31" xr:uid="{68F9C3FD-86D2-4C4A-A4C7-D5F431BF9995}"/>
    <hyperlink ref="B81" r:id="rId32" xr:uid="{B413D953-CF98-4E31-B2CC-7E68B11F9052}"/>
    <hyperlink ref="B83" r:id="rId33" xr:uid="{D9B03CC9-B3B9-437F-B3E2-18D973D5C329}"/>
    <hyperlink ref="B85" r:id="rId34" xr:uid="{206D2AF9-AAA7-4EC1-ACC4-B9775F6AA5FA}"/>
    <hyperlink ref="B89" r:id="rId35" xr:uid="{CB57AA7A-3D3B-4AE2-8925-FC1C865E71EA}"/>
    <hyperlink ref="B93" r:id="rId36" xr:uid="{48993F4E-8C27-4FB1-B36C-7F86FB8A224A}"/>
    <hyperlink ref="B95" r:id="rId37" xr:uid="{35BE205A-5105-4EDA-B885-04449453B651}"/>
    <hyperlink ref="B97" r:id="rId38" xr:uid="{27F1221B-07A8-4911-89AF-BE1F9F8DB57E}"/>
    <hyperlink ref="B99" r:id="rId39" xr:uid="{B1EC196A-442E-48C4-B098-2A545D45804E}"/>
    <hyperlink ref="B101" r:id="rId40" xr:uid="{71F5A3DA-7F73-4861-8B70-FD9D2D2747A4}"/>
    <hyperlink ref="B103" r:id="rId41" xr:uid="{44C228E5-6A78-4181-A2A9-D34EF9BC4E5A}"/>
    <hyperlink ref="B105" r:id="rId42" xr:uid="{D2759AA4-75C2-4AAB-B16C-AF1AF0549776}"/>
    <hyperlink ref="B107" r:id="rId43" xr:uid="{650BC741-DCF4-4E89-BAFA-612F4C0E89C8}"/>
    <hyperlink ref="B111" r:id="rId44" xr:uid="{87EBB178-C271-4A83-B511-38DB0A92FC46}"/>
    <hyperlink ref="B114" r:id="rId45" xr:uid="{31FBFF7D-AAEC-44AA-9F09-A165E87F39E9}"/>
    <hyperlink ref="B116" r:id="rId46" xr:uid="{88119558-14D0-4378-BD4F-646F04AAE07F}"/>
    <hyperlink ref="B118" r:id="rId47" xr:uid="{A9166A25-63BC-4E3A-82C3-7DC2C3662953}"/>
    <hyperlink ref="B120" r:id="rId48" xr:uid="{562EE314-03C5-4F9D-888C-E4D5C165CEA9}"/>
    <hyperlink ref="B125" r:id="rId49" xr:uid="{B278C522-2EC3-4271-9FAA-DCB7441B0E00}"/>
    <hyperlink ref="B128" r:id="rId50" xr:uid="{CF99BF1B-86E1-4E41-A989-6605AF113A03}"/>
    <hyperlink ref="B130" r:id="rId51" xr:uid="{B3205C21-966E-43DA-99B6-802283049968}"/>
    <hyperlink ref="B132" r:id="rId52" xr:uid="{1608E10F-1092-4502-AB46-9086471D6B8F}"/>
    <hyperlink ref="B134" r:id="rId53" xr:uid="{8E36A3A3-358E-47B3-B11F-AB7197C0F216}"/>
    <hyperlink ref="B136" r:id="rId54" xr:uid="{A23C1739-7828-4324-8E3B-D0983E68FFEE}"/>
    <hyperlink ref="B140" r:id="rId55" xr:uid="{7AC01925-1FDF-4F4E-B447-39C38074FD72}"/>
    <hyperlink ref="B142" r:id="rId56" xr:uid="{6EF69144-F3F7-495F-9919-361299491621}"/>
    <hyperlink ref="B147" r:id="rId57" xr:uid="{FAA1975C-535F-45ED-A6ED-C00956E764C5}"/>
    <hyperlink ref="B144" r:id="rId58" xr:uid="{40911E7F-BB99-45C4-8431-4B796522FAA0}"/>
    <hyperlink ref="B149" r:id="rId59" xr:uid="{9822C9BD-473C-4DB0-A024-AA8997E16F9E}"/>
    <hyperlink ref="B151" r:id="rId60" xr:uid="{BDF9FF87-A1A4-4E02-AA05-3B5783985AA1}"/>
    <hyperlink ref="B159" r:id="rId61" xr:uid="{6793A105-0F9D-41C2-BB3E-C2FF6254C7D2}"/>
    <hyperlink ref="B161" r:id="rId62" xr:uid="{6D9F61E8-5165-43EC-9229-9C8D1757DCA9}"/>
    <hyperlink ref="B163" r:id="rId63" xr:uid="{2BF02D19-56AE-4CA7-9CCF-9A1F7AD57D5C}"/>
    <hyperlink ref="B165" r:id="rId64" xr:uid="{E2F974A2-702D-4E03-B062-57AB7D9D932A}"/>
    <hyperlink ref="B167" r:id="rId65" xr:uid="{A9923577-2FF9-403A-8461-1BA33B57FA53}"/>
    <hyperlink ref="B169" r:id="rId66" xr:uid="{54766ED4-BAB6-4765-9165-0A8512708E6B}"/>
    <hyperlink ref="B172" r:id="rId67" xr:uid="{8DD12257-A704-45AC-ADD8-B384BD21C919}"/>
    <hyperlink ref="B174" r:id="rId68" xr:uid="{FDF2A139-2063-4A35-BF65-0FEA8AA1D30D}"/>
    <hyperlink ref="B179" r:id="rId69" xr:uid="{75C299FA-3389-4F11-986E-0A707E371861}"/>
    <hyperlink ref="B177" r:id="rId70" xr:uid="{46308426-A230-43DC-AA94-BA6F08D1D539}"/>
    <hyperlink ref="B182" r:id="rId71" xr:uid="{BF069FD4-6CF8-4F91-B087-C99912B1B4B7}"/>
    <hyperlink ref="B184" r:id="rId72" xr:uid="{8372011F-D0F0-49F0-A910-E94F7A146153}"/>
    <hyperlink ref="B186" r:id="rId73" xr:uid="{B6FBB982-DFD9-4A58-8D1B-C78AE1BAC3BB}"/>
    <hyperlink ref="B189" r:id="rId74" xr:uid="{58C1EEA0-DDF4-42FC-83ED-AB64CEE7FF07}"/>
    <hyperlink ref="B191" r:id="rId75" xr:uid="{60A3DDCE-1533-4209-81F8-C13A13B15B68}"/>
    <hyperlink ref="B193" r:id="rId76" xr:uid="{D5370B99-234D-40BD-A686-526DB3B37289}"/>
    <hyperlink ref="B195" r:id="rId77" xr:uid="{0CDFE2B7-F1B0-4D63-8C9E-EF0135C474AB}"/>
    <hyperlink ref="B198" r:id="rId78" xr:uid="{EA9C7DE8-2424-4E91-BA60-44F8B4D50028}"/>
    <hyperlink ref="B199" r:id="rId79" xr:uid="{A62D5744-472E-4B1F-B375-D144681A0587}"/>
    <hyperlink ref="B208" r:id="rId80" xr:uid="{E756E733-499A-44CE-86C8-E2BB844954D9}"/>
    <hyperlink ref="B210" r:id="rId81" xr:uid="{7ADE0BC7-D0B5-4745-ADF6-74EA3DC61745}"/>
    <hyperlink ref="B212" r:id="rId82" xr:uid="{0AAC71E4-2D12-466A-A4F9-A75D1F060851}"/>
    <hyperlink ref="B216" r:id="rId83" xr:uid="{D114FF9E-DF9B-4BFF-8286-E1CC5CBDE248}"/>
    <hyperlink ref="B230" r:id="rId84" xr:uid="{AFF8B8D1-32AF-479D-8606-CB43B8DCCAEA}"/>
    <hyperlink ref="B2" r:id="rId85" xr:uid="{4E8BC42C-A4EC-4AE9-BCA3-53652C1E4BBE}"/>
    <hyperlink ref="B4" r:id="rId86" xr:uid="{3B6204F6-3EAF-4755-9601-607A2AE52B85}"/>
    <hyperlink ref="B6" r:id="rId87" xr:uid="{FBABFB41-DEF0-4D6C-841B-8CF45B68F06A}"/>
    <hyperlink ref="B8" r:id="rId88" xr:uid="{FE907972-A6B0-40CE-B583-C220CE279654}"/>
    <hyperlink ref="B9" r:id="rId89" xr:uid="{655115B4-35DA-42D3-A706-D86CF91C3F8E}"/>
    <hyperlink ref="B12" r:id="rId90" xr:uid="{1F317592-3E0B-4A2A-98A7-DA5A170A6179}"/>
    <hyperlink ref="B11" r:id="rId91" xr:uid="{E12EDFEF-C02A-4F40-A55A-0235CF5623C3}"/>
    <hyperlink ref="B14" r:id="rId92" xr:uid="{BB90EF1A-D0F2-4078-8592-E6F8ED56C8E1}"/>
    <hyperlink ref="B16" r:id="rId93" xr:uid="{DA735DB0-0F36-42C9-AF54-A771C6EB2B5C}"/>
    <hyperlink ref="B19" r:id="rId94" xr:uid="{5890EF2B-8976-4C51-B3DE-2599E2A9413F}"/>
    <hyperlink ref="B21" r:id="rId95" xr:uid="{688A789D-C753-4DAE-8AC6-79729B0C8460}"/>
    <hyperlink ref="B23" r:id="rId96" xr:uid="{15A98D5C-8AFF-4BFE-982B-08F26E493619}"/>
    <hyperlink ref="B25" r:id="rId97" xr:uid="{696D5C84-F402-4095-AC18-AA796519B4E6}"/>
    <hyperlink ref="B26" r:id="rId98" xr:uid="{98894AAE-5989-4356-9A8D-05F403539B79}"/>
    <hyperlink ref="B28" r:id="rId99" xr:uid="{5F2D8186-6DF1-416C-85C4-B898A1CE7367}"/>
    <hyperlink ref="B30" r:id="rId100" xr:uid="{251283DA-86E1-458E-BF92-8A76B02B89F8}"/>
    <hyperlink ref="B34" r:id="rId101" xr:uid="{D95DAD11-4046-410B-8148-260907B44010}"/>
    <hyperlink ref="B33" r:id="rId102" xr:uid="{C8763E91-A085-49D4-BFE4-2414132B2835}"/>
    <hyperlink ref="B32" r:id="rId103" xr:uid="{F533DE1E-4915-4C0C-9730-9B9B100C9C55}"/>
    <hyperlink ref="B36" r:id="rId104" xr:uid="{32CE5ADC-AB8A-46DA-8A7A-99A4361648F8}"/>
    <hyperlink ref="B38" r:id="rId105" xr:uid="{2EF66A29-4DCE-4360-9C4E-55686056C10D}"/>
    <hyperlink ref="B43" r:id="rId106" xr:uid="{79973BFA-D923-4D2A-B28C-A9831C219DA6}"/>
    <hyperlink ref="B42" r:id="rId107" xr:uid="{883F3890-180C-46F7-9C41-8E564BD81E19}"/>
    <hyperlink ref="B41" r:id="rId108" xr:uid="{49309422-0602-403C-9F8E-01893591B931}"/>
    <hyperlink ref="B40" r:id="rId109" xr:uid="{B5D348A8-75D6-4D8B-AF35-36F1D2A8B2A8}"/>
    <hyperlink ref="B45" r:id="rId110" xr:uid="{DD872E54-D921-4D16-BE5E-360FF528A97F}"/>
    <hyperlink ref="B48" r:id="rId111" xr:uid="{2C8A0F11-F5BC-4C8D-9D6F-3F2611AE9178}"/>
    <hyperlink ref="B47" r:id="rId112" xr:uid="{E983F114-C1EE-4EBA-ADF3-EC4ED00A6084}"/>
    <hyperlink ref="B50" r:id="rId113" xr:uid="{84A00204-082F-40A8-8559-59D010200352}"/>
    <hyperlink ref="B52" r:id="rId114" xr:uid="{E2A5D2FB-B02A-4D93-87B4-9A963183183B}"/>
    <hyperlink ref="B51" r:id="rId115" xr:uid="{F4E0D267-36D5-4044-A305-15A8B027DBFE}"/>
    <hyperlink ref="B54" r:id="rId116" xr:uid="{44D14958-6D07-4588-9599-887355489EF5}"/>
    <hyperlink ref="B59" r:id="rId117" xr:uid="{AF3FB137-DE0C-40D7-B1F1-CD2C65BA54F9}"/>
    <hyperlink ref="B61" r:id="rId118" xr:uid="{FDCF8FD2-97BC-47F5-A350-30DB8A49F432}"/>
    <hyperlink ref="B60" r:id="rId119" xr:uid="{6157D2DD-DD8F-470D-AC54-EBD917D5FCB6}"/>
    <hyperlink ref="B58" r:id="rId120" xr:uid="{C2321968-6DEA-46D6-9FFA-C33FA060B228}"/>
    <hyperlink ref="B57" r:id="rId121" xr:uid="{217668B2-B7F3-45A8-9E59-34CE0E7BF846}"/>
    <hyperlink ref="B56" r:id="rId122" xr:uid="{BEF34426-79A6-4F2B-B44B-B59B4D902401}"/>
    <hyperlink ref="B62" r:id="rId123" xr:uid="{B0648DEC-3729-490C-BD5E-E07204E5B18F}"/>
    <hyperlink ref="B63" r:id="rId124" xr:uid="{EE6E13AE-E358-4362-B5CD-68D273BC0AAA}"/>
    <hyperlink ref="B65" r:id="rId125" xr:uid="{76FBE084-74CB-4E1B-AF98-6F0D6F90FA76}"/>
    <hyperlink ref="B69" r:id="rId126" xr:uid="{4026B832-7231-4718-935D-9EDD297A8CE9}"/>
    <hyperlink ref="B68" r:id="rId127" xr:uid="{19A56C62-AAFB-421D-9BD5-C7E531E5DEC3}"/>
    <hyperlink ref="B67" r:id="rId128" xr:uid="{7129E00B-14AC-4C1A-A6E1-7D550B7C59A1}"/>
    <hyperlink ref="B71" r:id="rId129" xr:uid="{FBFB8C7C-BE76-4048-8017-A2778AC7663A}"/>
    <hyperlink ref="B74" r:id="rId130" xr:uid="{23A4F5F4-3DC8-4128-9175-C5B6B957134C}"/>
    <hyperlink ref="B73" r:id="rId131" xr:uid="{3307AF41-8FB3-439A-A967-BD15BC839DC7}"/>
    <hyperlink ref="B76" r:id="rId132" xr:uid="{B12E0FFD-91E8-4C95-91ED-A8915002FFDB}"/>
    <hyperlink ref="B78" r:id="rId133" xr:uid="{7C8A35DD-3E72-48BB-B6B2-633A709E0D6F}"/>
    <hyperlink ref="B80" r:id="rId134" xr:uid="{043A194A-C797-4AB3-ADDF-C3B36515157F}"/>
    <hyperlink ref="B82" r:id="rId135" xr:uid="{57A8F376-6E66-46B9-A470-2742D80A1719}"/>
    <hyperlink ref="B88" r:id="rId136" xr:uid="{69D8BE2B-4660-4E13-92EC-038A5FF20B69}"/>
    <hyperlink ref="B87" r:id="rId137" xr:uid="{ECDD9954-5EBE-4D82-A4BC-57A8FB8A8AB0}"/>
    <hyperlink ref="B86" r:id="rId138" xr:uid="{40F31740-2B30-4F65-A827-6EC5057E79F6}"/>
    <hyperlink ref="B90" r:id="rId139" xr:uid="{F44B1408-3CD6-48B3-908F-856E6E5D3DCF}"/>
    <hyperlink ref="B92" r:id="rId140" xr:uid="{D220575A-89D6-43B0-BF70-C6C5D7B31B70}"/>
    <hyperlink ref="B94" r:id="rId141" xr:uid="{EE62FDEE-1898-4D7E-A140-94FFF14C86BF}"/>
    <hyperlink ref="B96" r:id="rId142" xr:uid="{F89D8FE7-2859-46BB-83A8-7AEA15048876}"/>
    <hyperlink ref="B98" r:id="rId143" xr:uid="{F4CC0112-0037-46F6-B3FB-856478C93A88}"/>
    <hyperlink ref="B100" r:id="rId144" xr:uid="{CEC331B0-BFC8-4468-B9E6-E918E993563A}"/>
    <hyperlink ref="B102" r:id="rId145" xr:uid="{5BBCD4F0-8B32-4E3D-965A-B10B57B23DEB}"/>
    <hyperlink ref="B104" r:id="rId146" xr:uid="{A090DB6F-4DB9-4D8C-AC67-C8031D9683F9}"/>
    <hyperlink ref="B106" r:id="rId147" xr:uid="{DD4F18BA-99D6-414C-8D5A-F9B54E2D711F}"/>
    <hyperlink ref="B108" r:id="rId148" xr:uid="{7593E341-3138-41C6-A04A-D9CE8E79B326}"/>
    <hyperlink ref="B110" r:id="rId149" xr:uid="{6F5FF847-F085-436F-91EE-9C925FE6A2D8}"/>
    <hyperlink ref="B113" r:id="rId150" xr:uid="{2E82F6DE-1092-4CF0-BE59-6DBF647E3652}"/>
    <hyperlink ref="B112" r:id="rId151" xr:uid="{E2FEECA8-2A03-42D2-985B-EE5E6FE9A925}"/>
    <hyperlink ref="B115" r:id="rId152" xr:uid="{2DFDBE83-7689-429C-91C7-3DB9430EAFD4}"/>
    <hyperlink ref="B117" r:id="rId153" xr:uid="{1C7ADC6E-6648-49C5-B26A-EC42D181A3D9}"/>
    <hyperlink ref="B119" r:id="rId154" xr:uid="{BD622845-E241-4FB6-9C74-B6B69B14644B}"/>
    <hyperlink ref="B121" r:id="rId155" xr:uid="{622CBB27-BEC6-4F33-BFCE-EC3245D33296}"/>
    <hyperlink ref="B124" r:id="rId156" xr:uid="{C4C24F47-082A-4E03-926C-D320977D3273}"/>
    <hyperlink ref="B123" r:id="rId157" xr:uid="{CBE57C67-A508-41DC-9562-92C4C4CD2A21}"/>
    <hyperlink ref="B127" r:id="rId158" xr:uid="{598ED1C8-7119-4B57-B7F1-BFC4623862C5}"/>
    <hyperlink ref="B126" r:id="rId159" xr:uid="{67F298BA-772E-489F-8BEE-6CF7CD3D7F1D}"/>
    <hyperlink ref="B129" r:id="rId160" xr:uid="{3E4D3653-E0C5-4DA1-869C-1316226213CF}"/>
    <hyperlink ref="B131" r:id="rId161" xr:uid="{3CBE3280-393A-41A0-A2E3-1493CCF060FA}"/>
    <hyperlink ref="B133" r:id="rId162" xr:uid="{C074FA51-D485-4170-B572-FEC9F3C17EF1}"/>
    <hyperlink ref="B135" r:id="rId163" xr:uid="{84EDC368-6295-4A2F-8EA8-E1144EBC492B}"/>
    <hyperlink ref="B139" r:id="rId164" xr:uid="{B1F5B5E2-90A1-4605-9A9F-A43B8A3C8A6F}"/>
    <hyperlink ref="B138" r:id="rId165" xr:uid="{9FFEC830-899C-41EA-861C-E3863D3400D1}"/>
    <hyperlink ref="B137" r:id="rId166" xr:uid="{6F2EEE7A-6C28-4AA9-9D67-6EADED87D0B1}"/>
    <hyperlink ref="B141" r:id="rId167" xr:uid="{32BC410D-EA61-42AD-BDD1-F8F4332BD1CB}"/>
    <hyperlink ref="B143" r:id="rId168" xr:uid="{574E593F-9F0E-4EAE-A0BA-BA1E707C9F2F}"/>
    <hyperlink ref="B146" r:id="rId169" xr:uid="{730F1B7B-A775-4F62-BD38-8E4FA1D76A93}"/>
    <hyperlink ref="B145" r:id="rId170" xr:uid="{F1CBCCA2-9D0C-465E-BBA0-E6FBC1929620}"/>
    <hyperlink ref="B148" r:id="rId171" xr:uid="{C517505E-FCD0-4AF7-9777-A872218C453F}"/>
    <hyperlink ref="B150" r:id="rId172" xr:uid="{38CE866B-100D-4CE5-9AEF-2B64C91B8B3F}"/>
    <hyperlink ref="B155" r:id="rId173" xr:uid="{57040650-49AC-41AD-9093-872C36F3290B}"/>
    <hyperlink ref="B154" r:id="rId174" xr:uid="{A5F087A8-0F78-4511-8097-99DDFA946E87}"/>
    <hyperlink ref="B153" r:id="rId175" xr:uid="{794E94B7-3E55-433D-9B57-E68B8EA006E7}"/>
    <hyperlink ref="B152" r:id="rId176" xr:uid="{D14FBB24-06E9-4CA4-9B76-088805A1B563}"/>
    <hyperlink ref="B157" r:id="rId177" xr:uid="{4D30B33B-61AD-464A-9379-A289ADA84650}"/>
    <hyperlink ref="B156" r:id="rId178" xr:uid="{FDACAA4A-63FE-4DD3-A532-AF147B9E7BCE}"/>
    <hyperlink ref="B158" r:id="rId179" xr:uid="{01BB4A2C-3498-4EB8-9D73-8219F066F990}"/>
    <hyperlink ref="B160" r:id="rId180" xr:uid="{B19F160A-86F4-4CA2-9C99-9A4F339F2519}"/>
    <hyperlink ref="B162" r:id="rId181" xr:uid="{6A81A1EE-A0CA-491E-939A-FE76CE0D1AC5}"/>
    <hyperlink ref="B164" r:id="rId182" xr:uid="{EE53F320-30B7-49D5-B1FF-A0FA3EFAFE21}"/>
    <hyperlink ref="B166" r:id="rId183" xr:uid="{7F46FD75-5C01-4772-8A72-38DA77E94C4C}"/>
    <hyperlink ref="B168" r:id="rId184" xr:uid="{35E8BFA1-8FC0-418D-AA22-4983EE6AC302}"/>
    <hyperlink ref="B171" r:id="rId185" xr:uid="{F87E19DA-2DDB-45AA-BCF8-E3C78F2DDB6B}"/>
    <hyperlink ref="B170" r:id="rId186" xr:uid="{B303B52E-2DBE-4F8F-BE47-AC65DCB7FA5A}"/>
    <hyperlink ref="B173" r:id="rId187" xr:uid="{14228919-E034-42C9-A6E8-B6C37E5B7EE7}"/>
    <hyperlink ref="B176" r:id="rId188" xr:uid="{1F7D5109-60A1-4173-9295-DAB716A06612}"/>
    <hyperlink ref="B175" r:id="rId189" xr:uid="{5D5E8E83-45F0-4454-95A4-A31A1460DD5F}"/>
    <hyperlink ref="B178" r:id="rId190" xr:uid="{91688934-16ED-4F2D-89F2-AF7B64CD3A56}"/>
    <hyperlink ref="B181" r:id="rId191" xr:uid="{EAA4BBC2-F1C4-44E8-9130-928203499F42}"/>
    <hyperlink ref="B180" r:id="rId192" xr:uid="{5BDA66FA-7106-4433-99CC-CFAA23331108}"/>
    <hyperlink ref="B183" r:id="rId193" xr:uid="{A24FDDCD-91E0-43BC-93D9-B13924B59161}"/>
    <hyperlink ref="B185" r:id="rId194" xr:uid="{CFAEFC15-ECAE-4677-9711-06E1111F4555}"/>
    <hyperlink ref="B187" r:id="rId195" xr:uid="{76DC4862-695B-473E-B515-559684613E06}"/>
    <hyperlink ref="B188" r:id="rId196" xr:uid="{5ED3ED5F-A011-4E5F-A22C-3B43DFDA1D6A}"/>
    <hyperlink ref="B190" r:id="rId197" xr:uid="{0178C90F-7370-4B68-BE51-D2A48AC80FA4}"/>
    <hyperlink ref="B192" r:id="rId198" xr:uid="{EC5B4435-8585-4678-B359-3727CB31BEF3}"/>
    <hyperlink ref="B194" r:id="rId199" xr:uid="{4FB51543-FCFF-45CD-BFD9-D879B546688E}"/>
    <hyperlink ref="B197" r:id="rId200" xr:uid="{31BEF348-2F8C-4BC0-AA83-E6A2B98BB6DD}"/>
    <hyperlink ref="B196" r:id="rId201" xr:uid="{E13623BE-3CAD-4BBD-BF2C-D4EECE3F174F}"/>
    <hyperlink ref="B202" r:id="rId202" xr:uid="{D568F6AD-0138-46E5-A67A-1D375E8830BA}"/>
    <hyperlink ref="B201" r:id="rId203" xr:uid="{7B539AF4-A855-415F-8AF6-652AF904DF46}"/>
    <hyperlink ref="B203" r:id="rId204" xr:uid="{802ACCD5-F65A-4880-8236-5F0465C124DD}"/>
    <hyperlink ref="B200" r:id="rId205" xr:uid="{DD66592E-368E-4603-B839-235B2171AACC}"/>
    <hyperlink ref="B205" r:id="rId206" xr:uid="{1FC042B7-C232-4589-8821-F57085AF7B3A}"/>
    <hyperlink ref="B207" r:id="rId207" xr:uid="{675DC2C2-8E88-490D-9938-B50D67B44E04}"/>
    <hyperlink ref="B209" r:id="rId208" xr:uid="{17AAF1EA-84F9-4EE5-8953-981B5BA4D973}"/>
    <hyperlink ref="B211" r:id="rId209" xr:uid="{6CA8F0FC-23DD-4414-B6D9-4DD6F8946B2C}"/>
    <hyperlink ref="B213" r:id="rId210" xr:uid="{6DCC9DA1-C023-49E0-8BDE-65F9CC8E57F9}"/>
    <hyperlink ref="B215" r:id="rId211" xr:uid="{B31610FD-CD2B-4C0F-BBEA-DDB050F1F49E}"/>
    <hyperlink ref="B217" r:id="rId212" xr:uid="{96EF2B91-F2D3-4CB1-B242-DA699EF94ED0}"/>
    <hyperlink ref="B219" r:id="rId213" xr:uid="{5F187D89-1B34-42CA-B1A6-4B4E458A5443}"/>
    <hyperlink ref="B220" r:id="rId214" xr:uid="{6CBB8908-278F-475F-B537-A50940B2921B}"/>
    <hyperlink ref="B225" r:id="rId215" xr:uid="{D32AED98-5E01-4636-8ED2-AE9CBB1A8657}"/>
    <hyperlink ref="B224" r:id="rId216" xr:uid="{549A67EC-0160-4C7B-A946-D37BE6E7BBD0}"/>
    <hyperlink ref="B222" r:id="rId217" xr:uid="{0B80D3B1-D496-43A2-A548-DD6DE634D964}"/>
    <hyperlink ref="B229" r:id="rId218" xr:uid="{DED64CF1-715C-4A37-A772-E3F07C47951C}"/>
    <hyperlink ref="B228" r:id="rId219" xr:uid="{061BA19F-CD08-4F66-9040-9655C4BAE9E0}"/>
    <hyperlink ref="B227" r:id="rId220" xr:uid="{08D11D51-55FD-4067-B42B-EE5A362EF82B}"/>
    <hyperlink ref="B226" r:id="rId221" xr:uid="{82B40932-E348-4C2D-BAB5-B8566F91FA41}"/>
    <hyperlink ref="B221" r:id="rId222" xr:uid="{284313B9-5DAA-45AF-A550-B598268AB8EC}"/>
    <hyperlink ref="B231" r:id="rId223" xr:uid="{CB64F812-40DE-4EA9-BAF7-E292529D9B17}"/>
    <hyperlink ref="B233" r:id="rId224" xr:uid="{845FF0AC-35C1-4E18-8B85-98771513AB29}"/>
    <hyperlink ref="B239" r:id="rId225" xr:uid="{9AFF11D9-B909-48A3-930F-0412E3C9896D}"/>
    <hyperlink ref="B238" r:id="rId226" xr:uid="{E985253D-E454-4C75-BFCD-2F46EDC289C2}"/>
    <hyperlink ref="B237" r:id="rId227" xr:uid="{1E095F4E-C0C2-4E9B-9DA6-FD561E4ECF09}"/>
    <hyperlink ref="B236" r:id="rId228" xr:uid="{F9565A33-3EA1-4F4A-8474-C8E627691361}"/>
    <hyperlink ref="B235" r:id="rId229" xr:uid="{F0F942F0-371D-4D7C-B26D-528EB8F33009}"/>
    <hyperlink ref="B234" r:id="rId230" xr:uid="{C63A982A-7279-42FF-8E7E-97FC740E5BAF}"/>
    <hyperlink ref="B27" r:id="rId231" xr:uid="{EF1D6E87-11DB-47F3-B846-AA3732344B15}"/>
    <hyperlink ref="B70" r:id="rId232" xr:uid="{E138356C-3142-450F-9665-FFD575A85272}"/>
    <hyperlink ref="B91" r:id="rId233" xr:uid="{C566CFBA-AD4D-4654-B855-6B97987757E1}"/>
    <hyperlink ref="B109" r:id="rId234" xr:uid="{C0087334-BD27-43DF-9CC0-06D6CF9F3BC5}"/>
    <hyperlink ref="B232" r:id="rId235" xr:uid="{D7A62C0F-34FA-485A-9989-34FDE06E1A30}"/>
    <hyperlink ref="B223" r:id="rId236" xr:uid="{78DDB694-DBFF-4DCD-8B91-068B3BFDEC2C}"/>
    <hyperlink ref="B84" r:id="rId237" xr:uid="{934C9B31-20F7-4EAC-8315-AC1627053421}"/>
  </hyperlinks>
  <pageMargins left="0.7" right="0.7" top="0.75" bottom="0.75" header="0.3" footer="0.3"/>
  <pageSetup paperSize="10000" orientation="portrait" horizontalDpi="1200" verticalDpi="1200" r:id="rId238"/>
  <tableParts count="1">
    <tablePart r:id="rId23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E804D-2BFC-417C-B626-6AB9E0DBB00F}">
  <sheetPr codeName="Sheet8"/>
  <dimension ref="A1:G7"/>
  <sheetViews>
    <sheetView workbookViewId="0"/>
  </sheetViews>
  <sheetFormatPr defaultRowHeight="14.4" x14ac:dyDescent="0.55000000000000004"/>
  <cols>
    <col min="1" max="1" width="20.68359375" bestFit="1" customWidth="1"/>
    <col min="2" max="2" width="17.68359375" bestFit="1" customWidth="1"/>
    <col min="3" max="3" width="8.1015625" bestFit="1" customWidth="1"/>
    <col min="4" max="4" width="23.7890625" bestFit="1" customWidth="1"/>
    <col min="5" max="6" width="10.3125" bestFit="1" customWidth="1"/>
    <col min="7" max="7" width="7.3125" bestFit="1" customWidth="1"/>
    <col min="8" max="9" width="9" bestFit="1" customWidth="1"/>
    <col min="11" max="11" width="10.3671875" bestFit="1" customWidth="1"/>
    <col min="12" max="16" width="11" bestFit="1" customWidth="1"/>
  </cols>
  <sheetData>
    <row r="1" spans="1:7" x14ac:dyDescent="0.55000000000000004">
      <c r="A1" t="s">
        <v>2225</v>
      </c>
      <c r="B1" t="s">
        <v>0</v>
      </c>
      <c r="C1" t="s">
        <v>272</v>
      </c>
      <c r="D1" t="s">
        <v>9</v>
      </c>
      <c r="E1" t="s">
        <v>4</v>
      </c>
      <c r="F1" t="s">
        <v>5</v>
      </c>
      <c r="G1" t="s">
        <v>2224</v>
      </c>
    </row>
    <row r="2" spans="1:7" x14ac:dyDescent="0.55000000000000004">
      <c r="A2" s="4" t="str">
        <f>STREAM[[#This Row],[ID]]&amp;"-"&amp;STREAM[[#This Row],[Q]]</f>
        <v>maxeats-HD</v>
      </c>
      <c r="B2" t="s">
        <v>662</v>
      </c>
      <c r="C2" s="4" t="s">
        <v>271</v>
      </c>
      <c r="D2" s="4" t="str">
        <f>IFERROR(IFERROR(VLOOKUP(STREAM[[#This Row],[ID]],CHANNEL[#All],2,0)&amp;IF(STREAM[[#This Row],[Q]]&lt;&gt;"SD"," "&amp;STREAM[[#This Row],[Q]],""),VLOOKUP(STREAM[[#This Row],[ID]],CHANNEL_EXT[#All],2,0)&amp;IF(STREAM[[#This Row],[Q]]&lt;&gt;"SD"," "&amp;STREAM[[#This Row],[Q]],"")),"-")</f>
        <v>MAXEats HD</v>
      </c>
      <c r="E2" t="s">
        <v>332</v>
      </c>
      <c r="F2">
        <v>8031</v>
      </c>
      <c r="G2" t="s">
        <v>2226</v>
      </c>
    </row>
    <row r="3" spans="1:7" x14ac:dyDescent="0.55000000000000004">
      <c r="A3" s="4" t="str">
        <f>STREAM[[#This Row],[ID]]&amp;"-"&amp;STREAM[[#This Row],[Q]]</f>
        <v>maxkids-HD</v>
      </c>
      <c r="B3" t="s">
        <v>786</v>
      </c>
      <c r="C3" s="4" t="s">
        <v>271</v>
      </c>
      <c r="D3" s="4" t="str">
        <f>IFERROR(IFERROR(VLOOKUP(STREAM[[#This Row],[ID]],CHANNEL[#All],2,0)&amp;IF(STREAM[[#This Row],[Q]]&lt;&gt;"SD"," "&amp;STREAM[[#This Row],[Q]],""),VLOOKUP(STREAM[[#This Row],[ID]],CHANNEL_EXT[#All],2,0)&amp;IF(STREAM[[#This Row],[Q]]&lt;&gt;"SD"," "&amp;STREAM[[#This Row],[Q]],"")),"-")</f>
        <v>MAXKids HD</v>
      </c>
      <c r="E3" t="s">
        <v>333</v>
      </c>
      <c r="F3">
        <v>9180</v>
      </c>
      <c r="G3" t="s">
        <v>2226</v>
      </c>
    </row>
    <row r="4" spans="1:7" x14ac:dyDescent="0.55000000000000004">
      <c r="A4" s="4" t="str">
        <f>STREAM[[#This Row],[ID]]&amp;"-"&amp;STREAM[[#This Row],[Q]]</f>
        <v>maxreels-HD</v>
      </c>
      <c r="B4" t="s">
        <v>788</v>
      </c>
      <c r="C4" s="4" t="s">
        <v>271</v>
      </c>
      <c r="D4" s="4" t="str">
        <f>IFERROR(IFERROR(VLOOKUP(STREAM[[#This Row],[ID]],CHANNEL[#All],2,0)&amp;IF(STREAM[[#This Row],[Q]]&lt;&gt;"SD"," "&amp;STREAM[[#This Row],[Q]],""),VLOOKUP(STREAM[[#This Row],[ID]],CHANNEL_EXT[#All],2,0)&amp;IF(STREAM[[#This Row],[Q]]&lt;&gt;"SD"," "&amp;STREAM[[#This Row],[Q]],"")),"-")</f>
        <v>MAXReels HD</v>
      </c>
      <c r="E4" t="s">
        <v>27</v>
      </c>
      <c r="F4">
        <v>9486</v>
      </c>
      <c r="G4" t="s">
        <v>2226</v>
      </c>
    </row>
    <row r="5" spans="1:7" x14ac:dyDescent="0.55000000000000004">
      <c r="A5" s="4" t="str">
        <f>STREAM[[#This Row],[ID]]&amp;"-"&amp;STREAM[[#This Row],[Q]]</f>
        <v>maxsports-HD</v>
      </c>
      <c r="B5" t="s">
        <v>790</v>
      </c>
      <c r="C5" s="4" t="s">
        <v>271</v>
      </c>
      <c r="D5" s="4" t="str">
        <f>IFERROR(IFERROR(VLOOKUP(STREAM[[#This Row],[ID]],CHANNEL[#All],2,0)&amp;IF(STREAM[[#This Row],[Q]]&lt;&gt;"SD"," "&amp;STREAM[[#This Row],[Q]],""),VLOOKUP(STREAM[[#This Row],[ID]],CHANNEL_EXT[#All],2,0)&amp;IF(STREAM[[#This Row],[Q]]&lt;&gt;"SD"," "&amp;STREAM[[#This Row],[Q]],"")),"-")</f>
        <v>MAXSports HD</v>
      </c>
      <c r="E5" t="s">
        <v>364</v>
      </c>
      <c r="F5">
        <v>8209</v>
      </c>
      <c r="G5" t="s">
        <v>2226</v>
      </c>
    </row>
    <row r="6" spans="1:7" x14ac:dyDescent="0.55000000000000004">
      <c r="A6" s="4" t="str">
        <f>STREAM[[#This Row],[ID]]&amp;"-"&amp;STREAM[[#This Row],[Q]]</f>
        <v>maxstreak-HD</v>
      </c>
      <c r="B6" t="s">
        <v>665</v>
      </c>
      <c r="C6" s="4" t="s">
        <v>271</v>
      </c>
      <c r="D6" s="4" t="str">
        <f>IFERROR(IFERROR(VLOOKUP(STREAM[[#This Row],[ID]],CHANNEL[#All],2,0)&amp;IF(STREAM[[#This Row],[Q]]&lt;&gt;"SD"," "&amp;STREAM[[#This Row],[Q]],""),VLOOKUP(STREAM[[#This Row],[ID]],CHANNEL_EXT[#All],2,0)&amp;IF(STREAM[[#This Row],[Q]]&lt;&gt;"SD"," "&amp;STREAM[[#This Row],[Q]],"")),"-")</f>
        <v>MAXStreak HD</v>
      </c>
      <c r="E6" t="s">
        <v>674</v>
      </c>
      <c r="F6">
        <v>8025</v>
      </c>
      <c r="G6" t="s">
        <v>2226</v>
      </c>
    </row>
    <row r="7" spans="1:7" x14ac:dyDescent="0.55000000000000004">
      <c r="A7" s="4" t="str">
        <f>STREAM[[#This Row],[ID]]&amp;"-"&amp;STREAM[[#This Row],[Q]]</f>
        <v>maxstreamtv-HD</v>
      </c>
      <c r="B7" t="s">
        <v>891</v>
      </c>
      <c r="C7" s="4" t="s">
        <v>271</v>
      </c>
      <c r="D7" s="4" t="str">
        <f>IFERROR(IFERROR(VLOOKUP(STREAM[[#This Row],[ID]],CHANNEL[#All],2,0)&amp;IF(STREAM[[#This Row],[Q]]&lt;&gt;"SD"," "&amp;STREAM[[#This Row],[Q]],""),VLOOKUP(STREAM[[#This Row],[ID]],CHANNEL_EXT[#All],2,0)&amp;IF(STREAM[[#This Row],[Q]]&lt;&gt;"SD"," "&amp;STREAM[[#This Row],[Q]],"")),"-")</f>
        <v>MAXStream TV HD</v>
      </c>
      <c r="E7" t="s">
        <v>331</v>
      </c>
      <c r="F7">
        <v>8164</v>
      </c>
      <c r="G7" t="s">
        <v>2226</v>
      </c>
    </row>
  </sheetData>
  <pageMargins left="0.7" right="0.7" top="0.75" bottom="0.75" header="0.3" footer="0.3"/>
  <pageSetup paperSize="10000" orientation="portrait" horizontalDpi="1200" verticalDpi="12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55DAA-18F0-4370-8733-798FB5AD8826}">
  <sheetPr codeName="Sheet3"/>
  <dimension ref="A1:B3"/>
  <sheetViews>
    <sheetView workbookViewId="0"/>
  </sheetViews>
  <sheetFormatPr defaultRowHeight="14.4" x14ac:dyDescent="0.55000000000000004"/>
  <cols>
    <col min="1" max="1" width="51.89453125" bestFit="1" customWidth="1"/>
    <col min="2" max="2" width="10.5234375" customWidth="1"/>
  </cols>
  <sheetData>
    <row r="1" spans="1:2" x14ac:dyDescent="0.55000000000000004">
      <c r="A1" t="s">
        <v>30</v>
      </c>
      <c r="B1" t="s">
        <v>6</v>
      </c>
    </row>
    <row r="2" spans="1:2" x14ac:dyDescent="0.55000000000000004">
      <c r="A2" s="2" t="s">
        <v>2292</v>
      </c>
      <c r="B2" t="b">
        <v>1</v>
      </c>
    </row>
    <row r="3" spans="1:2" x14ac:dyDescent="0.55000000000000004">
      <c r="A3" s="2" t="s">
        <v>2293</v>
      </c>
      <c r="B3" t="b">
        <v>0</v>
      </c>
    </row>
  </sheetData>
  <hyperlinks>
    <hyperlink ref="A2" r:id="rId1" display="https://home.ntlab.id/guides/indihometv1.xml" xr:uid="{011C25F6-BE0F-4587-BFEE-710F1CF27ED9}"/>
    <hyperlink ref="A3" r:id="rId2" display="https://home.ntlab.id/guides/indihometv2.xml" xr:uid="{42602390-BB76-4C3A-9169-FD8BF45446E8}"/>
  </hyperlinks>
  <pageMargins left="0.7" right="0.7" top="0.75" bottom="0.75" header="0.3" footer="0.3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C8889-DC1E-4116-BE90-8837D26EAD24}">
  <sheetPr codeName="Sheet7"/>
  <dimension ref="A1:E291"/>
  <sheetViews>
    <sheetView workbookViewId="0"/>
  </sheetViews>
  <sheetFormatPr defaultRowHeight="14.4" x14ac:dyDescent="0.55000000000000004"/>
  <cols>
    <col min="1" max="1" width="13" bestFit="1" customWidth="1"/>
    <col min="2" max="2" width="32" bestFit="1" customWidth="1"/>
    <col min="3" max="3" width="16.9453125" bestFit="1" customWidth="1"/>
    <col min="4" max="4" width="4.578125" customWidth="1"/>
    <col min="5" max="5" width="10.3671875" bestFit="1" customWidth="1"/>
  </cols>
  <sheetData>
    <row r="1" spans="1:5" x14ac:dyDescent="0.55000000000000004">
      <c r="A1" t="s">
        <v>1933</v>
      </c>
      <c r="B1" t="s">
        <v>273</v>
      </c>
      <c r="C1" t="s">
        <v>907</v>
      </c>
      <c r="D1" t="s">
        <v>282</v>
      </c>
      <c r="E1" t="s">
        <v>6</v>
      </c>
    </row>
    <row r="2" spans="1:5" x14ac:dyDescent="0.55000000000000004">
      <c r="A2" t="s">
        <v>1934</v>
      </c>
      <c r="B2" t="s">
        <v>590</v>
      </c>
      <c r="C2" t="s">
        <v>934</v>
      </c>
      <c r="D2" s="8" t="str">
        <f>IF(ISERROR(VLOOKUP(XMLTV[[#This Row],[SITE]]&amp;"-"&amp;XMLTV[[#This Row],[TVGID]],GUIDE[#All],1,0)),"✗","✓")</f>
        <v>✓</v>
      </c>
      <c r="E2" t="b">
        <v>1</v>
      </c>
    </row>
    <row r="3" spans="1:5" x14ac:dyDescent="0.55000000000000004">
      <c r="A3" t="s">
        <v>1934</v>
      </c>
      <c r="B3" t="s">
        <v>641</v>
      </c>
      <c r="C3" t="s">
        <v>934</v>
      </c>
      <c r="D3" s="8" t="str">
        <f>IF(ISERROR(VLOOKUP(XMLTV[[#This Row],[SITE]]&amp;"-"&amp;XMLTV[[#This Row],[TVGID]],GUIDE[#All],1,0)),"✗","✓")</f>
        <v>✓</v>
      </c>
      <c r="E3" t="b">
        <v>1</v>
      </c>
    </row>
    <row r="4" spans="1:5" x14ac:dyDescent="0.55000000000000004">
      <c r="A4" t="s">
        <v>1934</v>
      </c>
      <c r="B4" t="s">
        <v>914</v>
      </c>
      <c r="C4" t="s">
        <v>934</v>
      </c>
      <c r="D4" s="8" t="str">
        <f>IF(ISERROR(VLOOKUP(XMLTV[[#This Row],[SITE]]&amp;"-"&amp;XMLTV[[#This Row],[TVGID]],GUIDE[#All],1,0)),"✗","✓")</f>
        <v>✓</v>
      </c>
      <c r="E4" t="b">
        <v>1</v>
      </c>
    </row>
    <row r="5" spans="1:5" x14ac:dyDescent="0.55000000000000004">
      <c r="A5" t="s">
        <v>1934</v>
      </c>
      <c r="B5" t="s">
        <v>553</v>
      </c>
      <c r="C5" t="s">
        <v>934</v>
      </c>
      <c r="D5" s="8" t="str">
        <f>IF(ISERROR(VLOOKUP(XMLTV[[#This Row],[SITE]]&amp;"-"&amp;XMLTV[[#This Row],[TVGID]],GUIDE[#All],1,0)),"✗","✓")</f>
        <v>✓</v>
      </c>
      <c r="E5" t="b">
        <v>1</v>
      </c>
    </row>
    <row r="6" spans="1:5" x14ac:dyDescent="0.55000000000000004">
      <c r="A6" t="s">
        <v>1934</v>
      </c>
      <c r="B6" t="s">
        <v>576</v>
      </c>
      <c r="C6" t="s">
        <v>1936</v>
      </c>
      <c r="D6" s="8" t="str">
        <f>IF(ISERROR(VLOOKUP(XMLTV[[#This Row],[SITE]]&amp;"-"&amp;XMLTV[[#This Row],[TVGID]],GUIDE[#All],1,0)),"✗","✓")</f>
        <v>✓</v>
      </c>
      <c r="E6" t="b">
        <v>1</v>
      </c>
    </row>
    <row r="7" spans="1:5" x14ac:dyDescent="0.55000000000000004">
      <c r="A7" t="s">
        <v>1934</v>
      </c>
      <c r="B7" t="s">
        <v>586</v>
      </c>
      <c r="C7" t="s">
        <v>1936</v>
      </c>
      <c r="D7" s="8" t="str">
        <f>IF(ISERROR(VLOOKUP(XMLTV[[#This Row],[SITE]]&amp;"-"&amp;XMLTV[[#This Row],[TVGID]],GUIDE[#All],1,0)),"✗","✓")</f>
        <v>✓</v>
      </c>
      <c r="E7" t="b">
        <v>1</v>
      </c>
    </row>
    <row r="8" spans="1:5" x14ac:dyDescent="0.55000000000000004">
      <c r="A8" t="s">
        <v>1934</v>
      </c>
      <c r="B8" t="s">
        <v>544</v>
      </c>
      <c r="C8" t="s">
        <v>934</v>
      </c>
      <c r="D8" s="8" t="str">
        <f>IF(ISERROR(VLOOKUP(XMLTV[[#This Row],[SITE]]&amp;"-"&amp;XMLTV[[#This Row],[TVGID]],GUIDE[#All],1,0)),"✗","✓")</f>
        <v>✓</v>
      </c>
      <c r="E8" t="b">
        <v>1</v>
      </c>
    </row>
    <row r="9" spans="1:5" x14ac:dyDescent="0.55000000000000004">
      <c r="A9" t="s">
        <v>1934</v>
      </c>
      <c r="B9" t="s">
        <v>531</v>
      </c>
      <c r="C9" t="s">
        <v>919</v>
      </c>
      <c r="D9" s="8" t="str">
        <f>IF(ISERROR(VLOOKUP(XMLTV[[#This Row],[SITE]]&amp;"-"&amp;XMLTV[[#This Row],[TVGID]],GUIDE[#All],1,0)),"✗","✓")</f>
        <v>✓</v>
      </c>
      <c r="E9" t="b">
        <v>1</v>
      </c>
    </row>
    <row r="10" spans="1:5" x14ac:dyDescent="0.55000000000000004">
      <c r="A10" t="s">
        <v>1934</v>
      </c>
      <c r="B10" t="s">
        <v>591</v>
      </c>
      <c r="C10" t="s">
        <v>934</v>
      </c>
      <c r="D10" s="8" t="str">
        <f>IF(ISERROR(VLOOKUP(XMLTV[[#This Row],[SITE]]&amp;"-"&amp;XMLTV[[#This Row],[TVGID]],GUIDE[#All],1,0)),"✗","✓")</f>
        <v>✓</v>
      </c>
      <c r="E10" t="b">
        <v>1</v>
      </c>
    </row>
    <row r="11" spans="1:5" x14ac:dyDescent="0.55000000000000004">
      <c r="A11" t="s">
        <v>1934</v>
      </c>
      <c r="B11" t="s">
        <v>569</v>
      </c>
      <c r="C11" t="s">
        <v>934</v>
      </c>
      <c r="D11" s="8" t="str">
        <f>IF(ISERROR(VLOOKUP(XMLTV[[#This Row],[SITE]]&amp;"-"&amp;XMLTV[[#This Row],[TVGID]],GUIDE[#All],1,0)),"✗","✓")</f>
        <v>✓</v>
      </c>
      <c r="E11" t="b">
        <v>1</v>
      </c>
    </row>
    <row r="12" spans="1:5" x14ac:dyDescent="0.55000000000000004">
      <c r="A12" t="s">
        <v>1934</v>
      </c>
      <c r="B12" t="s">
        <v>541</v>
      </c>
      <c r="D12" s="8" t="str">
        <f>IF(ISERROR(VLOOKUP(XMLTV[[#This Row],[SITE]]&amp;"-"&amp;XMLTV[[#This Row],[TVGID]],GUIDE[#All],1,0)),"✗","✓")</f>
        <v>✗</v>
      </c>
      <c r="E12" t="b">
        <v>1</v>
      </c>
    </row>
    <row r="13" spans="1:5" x14ac:dyDescent="0.55000000000000004">
      <c r="A13" t="s">
        <v>1934</v>
      </c>
      <c r="B13" t="s">
        <v>372</v>
      </c>
      <c r="C13" t="s">
        <v>919</v>
      </c>
      <c r="D13" s="8" t="str">
        <f>IF(ISERROR(VLOOKUP(XMLTV[[#This Row],[SITE]]&amp;"-"&amp;XMLTV[[#This Row],[TVGID]],GUIDE[#All],1,0)),"✗","✓")</f>
        <v>✓</v>
      </c>
      <c r="E13" t="b">
        <v>1</v>
      </c>
    </row>
    <row r="14" spans="1:5" x14ac:dyDescent="0.55000000000000004">
      <c r="A14" t="s">
        <v>1934</v>
      </c>
      <c r="B14" t="s">
        <v>542</v>
      </c>
      <c r="C14" t="s">
        <v>919</v>
      </c>
      <c r="D14" s="8" t="str">
        <f>IF(ISERROR(VLOOKUP(XMLTV[[#This Row],[SITE]]&amp;"-"&amp;XMLTV[[#This Row],[TVGID]],GUIDE[#All],1,0)),"✗","✓")</f>
        <v>✓</v>
      </c>
      <c r="E14" t="b">
        <v>1</v>
      </c>
    </row>
    <row r="15" spans="1:5" x14ac:dyDescent="0.55000000000000004">
      <c r="A15" t="s">
        <v>1934</v>
      </c>
      <c r="B15" t="s">
        <v>915</v>
      </c>
      <c r="C15" t="s">
        <v>934</v>
      </c>
      <c r="D15" s="8" t="str">
        <f>IF(ISERROR(VLOOKUP(XMLTV[[#This Row],[SITE]]&amp;"-"&amp;XMLTV[[#This Row],[TVGID]],GUIDE[#All],1,0)),"✗","✓")</f>
        <v>✓</v>
      </c>
      <c r="E15" t="b">
        <v>1</v>
      </c>
    </row>
    <row r="16" spans="1:5" x14ac:dyDescent="0.55000000000000004">
      <c r="A16" t="s">
        <v>1934</v>
      </c>
      <c r="B16" t="s">
        <v>537</v>
      </c>
      <c r="C16" t="s">
        <v>934</v>
      </c>
      <c r="D16" s="8" t="str">
        <f>IF(ISERROR(VLOOKUP(XMLTV[[#This Row],[SITE]]&amp;"-"&amp;XMLTV[[#This Row],[TVGID]],GUIDE[#All],1,0)),"✗","✓")</f>
        <v>✓</v>
      </c>
      <c r="E16" t="b">
        <v>1</v>
      </c>
    </row>
    <row r="17" spans="1:5" x14ac:dyDescent="0.55000000000000004">
      <c r="A17" t="s">
        <v>1934</v>
      </c>
      <c r="B17" t="s">
        <v>610</v>
      </c>
      <c r="C17" t="s">
        <v>934</v>
      </c>
      <c r="D17" s="8" t="str">
        <f>IF(ISERROR(VLOOKUP(XMLTV[[#This Row],[SITE]]&amp;"-"&amp;XMLTV[[#This Row],[TVGID]],GUIDE[#All],1,0)),"✗","✓")</f>
        <v>✓</v>
      </c>
      <c r="E17" t="b">
        <v>1</v>
      </c>
    </row>
    <row r="18" spans="1:5" x14ac:dyDescent="0.55000000000000004">
      <c r="A18" t="s">
        <v>1934</v>
      </c>
      <c r="B18" t="s">
        <v>374</v>
      </c>
      <c r="C18" t="s">
        <v>919</v>
      </c>
      <c r="D18" s="8" t="str">
        <f>IF(ISERROR(VLOOKUP(XMLTV[[#This Row],[SITE]]&amp;"-"&amp;XMLTV[[#This Row],[TVGID]],GUIDE[#All],1,0)),"✗","✓")</f>
        <v>✓</v>
      </c>
      <c r="E18" t="b">
        <v>1</v>
      </c>
    </row>
    <row r="19" spans="1:5" x14ac:dyDescent="0.55000000000000004">
      <c r="A19" t="s">
        <v>1934</v>
      </c>
      <c r="B19" t="s">
        <v>535</v>
      </c>
      <c r="C19" t="s">
        <v>934</v>
      </c>
      <c r="D19" s="8" t="str">
        <f>IF(ISERROR(VLOOKUP(XMLTV[[#This Row],[SITE]]&amp;"-"&amp;XMLTV[[#This Row],[TVGID]],GUIDE[#All],1,0)),"✗","✓")</f>
        <v>✓</v>
      </c>
      <c r="E19" t="b">
        <v>1</v>
      </c>
    </row>
    <row r="20" spans="1:5" x14ac:dyDescent="0.55000000000000004">
      <c r="A20" t="s">
        <v>1934</v>
      </c>
      <c r="B20" s="2" t="s">
        <v>2287</v>
      </c>
      <c r="C20" t="s">
        <v>934</v>
      </c>
      <c r="D20" s="8" t="str">
        <f>IF(ISERROR(VLOOKUP(XMLTV[[#This Row],[SITE]]&amp;"-"&amp;XMLTV[[#This Row],[TVGID]],GUIDE[#All],1,0)),"✗","✓")</f>
        <v>✓</v>
      </c>
      <c r="E20" t="b">
        <v>1</v>
      </c>
    </row>
    <row r="21" spans="1:5" x14ac:dyDescent="0.55000000000000004">
      <c r="A21" t="s">
        <v>1934</v>
      </c>
      <c r="B21" t="s">
        <v>563</v>
      </c>
      <c r="C21" t="s">
        <v>934</v>
      </c>
      <c r="D21" s="8" t="str">
        <f>IF(ISERROR(VLOOKUP(XMLTV[[#This Row],[SITE]]&amp;"-"&amp;XMLTV[[#This Row],[TVGID]],GUIDE[#All],1,0)),"✗","✓")</f>
        <v>✓</v>
      </c>
      <c r="E21" t="b">
        <v>1</v>
      </c>
    </row>
    <row r="22" spans="1:5" x14ac:dyDescent="0.55000000000000004">
      <c r="A22" t="s">
        <v>1934</v>
      </c>
      <c r="B22" t="s">
        <v>657</v>
      </c>
      <c r="C22" t="s">
        <v>919</v>
      </c>
      <c r="D22" s="8" t="str">
        <f>IF(ISERROR(VLOOKUP(XMLTV[[#This Row],[SITE]]&amp;"-"&amp;XMLTV[[#This Row],[TVGID]],GUIDE[#All],1,0)),"✗","✓")</f>
        <v>✓</v>
      </c>
      <c r="E22" t="b">
        <v>1</v>
      </c>
    </row>
    <row r="23" spans="1:5" x14ac:dyDescent="0.55000000000000004">
      <c r="A23" t="s">
        <v>1934</v>
      </c>
      <c r="B23" t="s">
        <v>592</v>
      </c>
      <c r="C23" t="s">
        <v>934</v>
      </c>
      <c r="D23" s="8" t="str">
        <f>IF(ISERROR(VLOOKUP(XMLTV[[#This Row],[SITE]]&amp;"-"&amp;XMLTV[[#This Row],[TVGID]],GUIDE[#All],1,0)),"✗","✓")</f>
        <v>✓</v>
      </c>
      <c r="E23" t="b">
        <v>1</v>
      </c>
    </row>
    <row r="24" spans="1:5" x14ac:dyDescent="0.55000000000000004">
      <c r="A24" t="s">
        <v>1934</v>
      </c>
      <c r="B24" t="s">
        <v>605</v>
      </c>
      <c r="C24" t="s">
        <v>919</v>
      </c>
      <c r="D24" s="8" t="str">
        <f>IF(ISERROR(VLOOKUP(XMLTV[[#This Row],[SITE]]&amp;"-"&amp;XMLTV[[#This Row],[TVGID]],GUIDE[#All],1,0)),"✗","✓")</f>
        <v>✓</v>
      </c>
      <c r="E24" t="b">
        <v>1</v>
      </c>
    </row>
    <row r="25" spans="1:5" x14ac:dyDescent="0.55000000000000004">
      <c r="A25" t="s">
        <v>1934</v>
      </c>
      <c r="B25" t="s">
        <v>555</v>
      </c>
      <c r="C25" t="s">
        <v>934</v>
      </c>
      <c r="D25" s="8" t="str">
        <f>IF(ISERROR(VLOOKUP(XMLTV[[#This Row],[SITE]]&amp;"-"&amp;XMLTV[[#This Row],[TVGID]],GUIDE[#All],1,0)),"✗","✓")</f>
        <v>✓</v>
      </c>
      <c r="E25" t="b">
        <v>1</v>
      </c>
    </row>
    <row r="26" spans="1:5" x14ac:dyDescent="0.55000000000000004">
      <c r="A26" t="s">
        <v>1934</v>
      </c>
      <c r="B26" t="s">
        <v>926</v>
      </c>
      <c r="C26" t="s">
        <v>918</v>
      </c>
      <c r="D26" s="8" t="str">
        <f>IF(ISERROR(VLOOKUP(XMLTV[[#This Row],[SITE]]&amp;"-"&amp;XMLTV[[#This Row],[TVGID]],GUIDE[#All],1,0)),"✗","✓")</f>
        <v>✓</v>
      </c>
      <c r="E26" t="b">
        <v>1</v>
      </c>
    </row>
    <row r="27" spans="1:5" x14ac:dyDescent="0.55000000000000004">
      <c r="A27" t="s">
        <v>1934</v>
      </c>
      <c r="B27" t="s">
        <v>927</v>
      </c>
      <c r="C27" t="s">
        <v>918</v>
      </c>
      <c r="D27" s="8" t="str">
        <f>IF(ISERROR(VLOOKUP(XMLTV[[#This Row],[SITE]]&amp;"-"&amp;XMLTV[[#This Row],[TVGID]],GUIDE[#All],1,0)),"✗","✓")</f>
        <v>✓</v>
      </c>
      <c r="E27" t="b">
        <v>1</v>
      </c>
    </row>
    <row r="28" spans="1:5" x14ac:dyDescent="0.55000000000000004">
      <c r="A28" t="s">
        <v>1934</v>
      </c>
      <c r="B28" t="s">
        <v>551</v>
      </c>
      <c r="C28" t="s">
        <v>913</v>
      </c>
      <c r="D28" s="8" t="str">
        <f>IF(ISERROR(VLOOKUP(XMLTV[[#This Row],[SITE]]&amp;"-"&amp;XMLTV[[#This Row],[TVGID]],GUIDE[#All],1,0)),"✗","✓")</f>
        <v>✓</v>
      </c>
      <c r="E28" t="b">
        <v>1</v>
      </c>
    </row>
    <row r="29" spans="1:5" x14ac:dyDescent="0.55000000000000004">
      <c r="A29" t="s">
        <v>1934</v>
      </c>
      <c r="B29" t="s">
        <v>597</v>
      </c>
      <c r="C29" t="s">
        <v>934</v>
      </c>
      <c r="D29" s="8" t="str">
        <f>IF(ISERROR(VLOOKUP(XMLTV[[#This Row],[SITE]]&amp;"-"&amp;XMLTV[[#This Row],[TVGID]],GUIDE[#All],1,0)),"✗","✓")</f>
        <v>✓</v>
      </c>
      <c r="E29" t="b">
        <v>1</v>
      </c>
    </row>
    <row r="30" spans="1:5" x14ac:dyDescent="0.55000000000000004">
      <c r="A30" t="s">
        <v>1934</v>
      </c>
      <c r="B30" t="s">
        <v>608</v>
      </c>
      <c r="C30" t="s">
        <v>934</v>
      </c>
      <c r="D30" s="8" t="str">
        <f>IF(ISERROR(VLOOKUP(XMLTV[[#This Row],[SITE]]&amp;"-"&amp;XMLTV[[#This Row],[TVGID]],GUIDE[#All],1,0)),"✗","✓")</f>
        <v>✓</v>
      </c>
      <c r="E30" t="b">
        <v>1</v>
      </c>
    </row>
    <row r="31" spans="1:5" x14ac:dyDescent="0.55000000000000004">
      <c r="A31" t="s">
        <v>1934</v>
      </c>
      <c r="B31" t="s">
        <v>600</v>
      </c>
      <c r="C31" t="s">
        <v>917</v>
      </c>
      <c r="D31" s="8" t="str">
        <f>IF(ISERROR(VLOOKUP(XMLTV[[#This Row],[SITE]]&amp;"-"&amp;XMLTV[[#This Row],[TVGID]],GUIDE[#All],1,0)),"✗","✓")</f>
        <v>✓</v>
      </c>
      <c r="E31" t="b">
        <v>1</v>
      </c>
    </row>
    <row r="32" spans="1:5" x14ac:dyDescent="0.55000000000000004">
      <c r="A32" t="s">
        <v>1934</v>
      </c>
      <c r="B32" t="s">
        <v>594</v>
      </c>
      <c r="D32" s="8" t="str">
        <f>IF(ISERROR(VLOOKUP(XMLTV[[#This Row],[SITE]]&amp;"-"&amp;XMLTV[[#This Row],[TVGID]],GUIDE[#All],1,0)),"✗","✓")</f>
        <v>✗</v>
      </c>
      <c r="E32" t="b">
        <v>1</v>
      </c>
    </row>
    <row r="33" spans="1:5" x14ac:dyDescent="0.55000000000000004">
      <c r="A33" t="s">
        <v>1934</v>
      </c>
      <c r="B33" t="s">
        <v>593</v>
      </c>
      <c r="C33" t="s">
        <v>918</v>
      </c>
      <c r="D33" s="8" t="str">
        <f>IF(ISERROR(VLOOKUP(XMLTV[[#This Row],[SITE]]&amp;"-"&amp;XMLTV[[#This Row],[TVGID]],GUIDE[#All],1,0)),"✗","✓")</f>
        <v>✓</v>
      </c>
      <c r="E33" t="b">
        <v>1</v>
      </c>
    </row>
    <row r="34" spans="1:5" x14ac:dyDescent="0.55000000000000004">
      <c r="A34" t="s">
        <v>1934</v>
      </c>
      <c r="B34" t="s">
        <v>627</v>
      </c>
      <c r="C34" t="s">
        <v>934</v>
      </c>
      <c r="D34" s="8" t="str">
        <f>IF(ISERROR(VLOOKUP(XMLTV[[#This Row],[SITE]]&amp;"-"&amp;XMLTV[[#This Row],[TVGID]],GUIDE[#All],1,0)),"✗","✓")</f>
        <v>✓</v>
      </c>
      <c r="E34" t="b">
        <v>1</v>
      </c>
    </row>
    <row r="35" spans="1:5" x14ac:dyDescent="0.55000000000000004">
      <c r="A35" t="s">
        <v>1934</v>
      </c>
      <c r="B35" t="s">
        <v>626</v>
      </c>
      <c r="C35" t="s">
        <v>934</v>
      </c>
      <c r="D35" s="8" t="str">
        <f>IF(ISERROR(VLOOKUP(XMLTV[[#This Row],[SITE]]&amp;"-"&amp;XMLTV[[#This Row],[TVGID]],GUIDE[#All],1,0)),"✗","✓")</f>
        <v>✓</v>
      </c>
      <c r="E35" t="b">
        <v>1</v>
      </c>
    </row>
    <row r="36" spans="1:5" x14ac:dyDescent="0.55000000000000004">
      <c r="A36" t="s">
        <v>1934</v>
      </c>
      <c r="B36" t="s">
        <v>550</v>
      </c>
      <c r="C36" t="s">
        <v>934</v>
      </c>
      <c r="D36" s="8" t="str">
        <f>IF(ISERROR(VLOOKUP(XMLTV[[#This Row],[SITE]]&amp;"-"&amp;XMLTV[[#This Row],[TVGID]],GUIDE[#All],1,0)),"✗","✓")</f>
        <v>✓</v>
      </c>
      <c r="E36" t="b">
        <v>1</v>
      </c>
    </row>
    <row r="37" spans="1:5" x14ac:dyDescent="0.55000000000000004">
      <c r="A37" t="s">
        <v>1934</v>
      </c>
      <c r="B37" t="s">
        <v>525</v>
      </c>
      <c r="C37" t="s">
        <v>934</v>
      </c>
      <c r="D37" s="8" t="str">
        <f>IF(ISERROR(VLOOKUP(XMLTV[[#This Row],[SITE]]&amp;"-"&amp;XMLTV[[#This Row],[TVGID]],GUIDE[#All],1,0)),"✗","✓")</f>
        <v>✓</v>
      </c>
      <c r="E37" t="b">
        <v>1</v>
      </c>
    </row>
    <row r="38" spans="1:5" x14ac:dyDescent="0.55000000000000004">
      <c r="A38" t="s">
        <v>1934</v>
      </c>
      <c r="B38" t="s">
        <v>373</v>
      </c>
      <c r="C38" t="s">
        <v>934</v>
      </c>
      <c r="D38" s="8" t="str">
        <f>IF(ISERROR(VLOOKUP(XMLTV[[#This Row],[SITE]]&amp;"-"&amp;XMLTV[[#This Row],[TVGID]],GUIDE[#All],1,0)),"✗","✓")</f>
        <v>✓</v>
      </c>
      <c r="E38" t="b">
        <v>1</v>
      </c>
    </row>
    <row r="39" spans="1:5" x14ac:dyDescent="0.55000000000000004">
      <c r="A39" t="s">
        <v>1934</v>
      </c>
      <c r="B39" t="s">
        <v>554</v>
      </c>
      <c r="C39" t="s">
        <v>919</v>
      </c>
      <c r="D39" s="8" t="str">
        <f>IF(ISERROR(VLOOKUP(XMLTV[[#This Row],[SITE]]&amp;"-"&amp;XMLTV[[#This Row],[TVGID]],GUIDE[#All],1,0)),"✗","✓")</f>
        <v>✓</v>
      </c>
      <c r="E39" t="b">
        <v>1</v>
      </c>
    </row>
    <row r="40" spans="1:5" x14ac:dyDescent="0.55000000000000004">
      <c r="A40" t="s">
        <v>1934</v>
      </c>
      <c r="B40" t="s">
        <v>552</v>
      </c>
      <c r="C40" t="s">
        <v>934</v>
      </c>
      <c r="D40" s="8" t="str">
        <f>IF(ISERROR(VLOOKUP(XMLTV[[#This Row],[SITE]]&amp;"-"&amp;XMLTV[[#This Row],[TVGID]],GUIDE[#All],1,0)),"✗","✓")</f>
        <v>✓</v>
      </c>
      <c r="E40" t="b">
        <v>1</v>
      </c>
    </row>
    <row r="41" spans="1:5" x14ac:dyDescent="0.55000000000000004">
      <c r="A41" t="s">
        <v>1934</v>
      </c>
      <c r="B41" t="s">
        <v>540</v>
      </c>
      <c r="C41" t="s">
        <v>934</v>
      </c>
      <c r="D41" s="8" t="str">
        <f>IF(ISERROR(VLOOKUP(XMLTV[[#This Row],[SITE]]&amp;"-"&amp;XMLTV[[#This Row],[TVGID]],GUIDE[#All],1,0)),"✗","✓")</f>
        <v>✓</v>
      </c>
      <c r="E41" t="b">
        <v>1</v>
      </c>
    </row>
    <row r="42" spans="1:5" x14ac:dyDescent="0.55000000000000004">
      <c r="A42" t="s">
        <v>1934</v>
      </c>
      <c r="B42" t="s">
        <v>560</v>
      </c>
      <c r="C42" t="s">
        <v>922</v>
      </c>
      <c r="D42" s="8" t="str">
        <f>IF(ISERROR(VLOOKUP(XMLTV[[#This Row],[SITE]]&amp;"-"&amp;XMLTV[[#This Row],[TVGID]],GUIDE[#All],1,0)),"✗","✓")</f>
        <v>✓</v>
      </c>
      <c r="E42" t="b">
        <v>1</v>
      </c>
    </row>
    <row r="43" spans="1:5" x14ac:dyDescent="0.55000000000000004">
      <c r="A43" t="s">
        <v>1934</v>
      </c>
      <c r="B43" t="s">
        <v>558</v>
      </c>
      <c r="C43" t="s">
        <v>934</v>
      </c>
      <c r="D43" s="8" t="str">
        <f>IF(ISERROR(VLOOKUP(XMLTV[[#This Row],[SITE]]&amp;"-"&amp;XMLTV[[#This Row],[TVGID]],GUIDE[#All],1,0)),"✗","✓")</f>
        <v>✓</v>
      </c>
      <c r="E43" t="b">
        <v>1</v>
      </c>
    </row>
    <row r="44" spans="1:5" x14ac:dyDescent="0.55000000000000004">
      <c r="A44" t="s">
        <v>1934</v>
      </c>
      <c r="B44" t="s">
        <v>921</v>
      </c>
      <c r="C44" t="s">
        <v>934</v>
      </c>
      <c r="D44" s="8" t="str">
        <f>IF(ISERROR(VLOOKUP(XMLTV[[#This Row],[SITE]]&amp;"-"&amp;XMLTV[[#This Row],[TVGID]],GUIDE[#All],1,0)),"✗","✓")</f>
        <v>✓</v>
      </c>
      <c r="E44" t="b">
        <v>1</v>
      </c>
    </row>
    <row r="45" spans="1:5" x14ac:dyDescent="0.55000000000000004">
      <c r="A45" t="s">
        <v>1934</v>
      </c>
      <c r="B45" t="s">
        <v>923</v>
      </c>
      <c r="C45" t="s">
        <v>934</v>
      </c>
      <c r="D45" s="8" t="str">
        <f>IF(ISERROR(VLOOKUP(XMLTV[[#This Row],[SITE]]&amp;"-"&amp;XMLTV[[#This Row],[TVGID]],GUIDE[#All],1,0)),"✗","✓")</f>
        <v>✓</v>
      </c>
      <c r="E45" t="b">
        <v>1</v>
      </c>
    </row>
    <row r="46" spans="1:5" x14ac:dyDescent="0.55000000000000004">
      <c r="A46" t="s">
        <v>1934</v>
      </c>
      <c r="B46" t="s">
        <v>564</v>
      </c>
      <c r="C46" t="s">
        <v>934</v>
      </c>
      <c r="D46" s="8" t="str">
        <f>IF(ISERROR(VLOOKUP(XMLTV[[#This Row],[SITE]]&amp;"-"&amp;XMLTV[[#This Row],[TVGID]],GUIDE[#All],1,0)),"✗","✓")</f>
        <v>✓</v>
      </c>
      <c r="E46" t="b">
        <v>1</v>
      </c>
    </row>
    <row r="47" spans="1:5" x14ac:dyDescent="0.55000000000000004">
      <c r="A47" t="s">
        <v>1934</v>
      </c>
      <c r="B47" t="s">
        <v>565</v>
      </c>
      <c r="C47" t="s">
        <v>934</v>
      </c>
      <c r="D47" s="8" t="str">
        <f>IF(ISERROR(VLOOKUP(XMLTV[[#This Row],[SITE]]&amp;"-"&amp;XMLTV[[#This Row],[TVGID]],GUIDE[#All],1,0)),"✗","✓")</f>
        <v>✓</v>
      </c>
      <c r="E47" t="b">
        <v>1</v>
      </c>
    </row>
    <row r="48" spans="1:5" x14ac:dyDescent="0.55000000000000004">
      <c r="A48" t="s">
        <v>1934</v>
      </c>
      <c r="B48" t="s">
        <v>589</v>
      </c>
      <c r="C48" t="s">
        <v>934</v>
      </c>
      <c r="D48" s="8" t="str">
        <f>IF(ISERROR(VLOOKUP(XMLTV[[#This Row],[SITE]]&amp;"-"&amp;XMLTV[[#This Row],[TVGID]],GUIDE[#All],1,0)),"✗","✓")</f>
        <v>✓</v>
      </c>
      <c r="E48" t="b">
        <v>1</v>
      </c>
    </row>
    <row r="49" spans="1:5" x14ac:dyDescent="0.55000000000000004">
      <c r="A49" t="s">
        <v>1934</v>
      </c>
      <c r="B49" t="s">
        <v>376</v>
      </c>
      <c r="C49" t="s">
        <v>934</v>
      </c>
      <c r="D49" s="8" t="str">
        <f>IF(ISERROR(VLOOKUP(XMLTV[[#This Row],[SITE]]&amp;"-"&amp;XMLTV[[#This Row],[TVGID]],GUIDE[#All],1,0)),"✗","✓")</f>
        <v>✓</v>
      </c>
      <c r="E49" t="b">
        <v>1</v>
      </c>
    </row>
    <row r="50" spans="1:5" x14ac:dyDescent="0.55000000000000004">
      <c r="A50" t="s">
        <v>1934</v>
      </c>
      <c r="B50" t="s">
        <v>625</v>
      </c>
      <c r="C50" t="s">
        <v>934</v>
      </c>
      <c r="D50" s="8" t="str">
        <f>IF(ISERROR(VLOOKUP(XMLTV[[#This Row],[SITE]]&amp;"-"&amp;XMLTV[[#This Row],[TVGID]],GUIDE[#All],1,0)),"✗","✓")</f>
        <v>✓</v>
      </c>
      <c r="E50" t="b">
        <v>1</v>
      </c>
    </row>
    <row r="51" spans="1:5" x14ac:dyDescent="0.55000000000000004">
      <c r="A51" t="s">
        <v>1934</v>
      </c>
      <c r="B51" t="s">
        <v>571</v>
      </c>
      <c r="C51" t="s">
        <v>934</v>
      </c>
      <c r="D51" s="8" t="str">
        <f>IF(ISERROR(VLOOKUP(XMLTV[[#This Row],[SITE]]&amp;"-"&amp;XMLTV[[#This Row],[TVGID]],GUIDE[#All],1,0)),"✗","✓")</f>
        <v>✓</v>
      </c>
      <c r="E51" t="b">
        <v>1</v>
      </c>
    </row>
    <row r="52" spans="1:5" x14ac:dyDescent="0.55000000000000004">
      <c r="A52" t="s">
        <v>1934</v>
      </c>
      <c r="B52" t="s">
        <v>616</v>
      </c>
      <c r="C52" t="s">
        <v>934</v>
      </c>
      <c r="D52" s="8" t="str">
        <f>IF(ISERROR(VLOOKUP(XMLTV[[#This Row],[SITE]]&amp;"-"&amp;XMLTV[[#This Row],[TVGID]],GUIDE[#All],1,0)),"✗","✓")</f>
        <v>✓</v>
      </c>
      <c r="E52" t="b">
        <v>1</v>
      </c>
    </row>
    <row r="53" spans="1:5" x14ac:dyDescent="0.55000000000000004">
      <c r="A53" t="s">
        <v>1934</v>
      </c>
      <c r="B53" t="s">
        <v>611</v>
      </c>
      <c r="D53" s="8" t="str">
        <f>IF(ISERROR(VLOOKUP(XMLTV[[#This Row],[SITE]]&amp;"-"&amp;XMLTV[[#This Row],[TVGID]],GUIDE[#All],1,0)),"✗","✓")</f>
        <v>✗</v>
      </c>
      <c r="E53" t="b">
        <v>1</v>
      </c>
    </row>
    <row r="54" spans="1:5" x14ac:dyDescent="0.55000000000000004">
      <c r="A54" t="s">
        <v>1934</v>
      </c>
      <c r="B54" t="s">
        <v>375</v>
      </c>
      <c r="C54" t="s">
        <v>934</v>
      </c>
      <c r="D54" s="8" t="str">
        <f>IF(ISERROR(VLOOKUP(XMLTV[[#This Row],[SITE]]&amp;"-"&amp;XMLTV[[#This Row],[TVGID]],GUIDE[#All],1,0)),"✗","✓")</f>
        <v>✓</v>
      </c>
      <c r="E54" t="b">
        <v>1</v>
      </c>
    </row>
    <row r="55" spans="1:5" x14ac:dyDescent="0.55000000000000004">
      <c r="A55" t="s">
        <v>1934</v>
      </c>
      <c r="B55" t="s">
        <v>609</v>
      </c>
      <c r="C55" t="s">
        <v>934</v>
      </c>
      <c r="D55" s="8" t="str">
        <f>IF(ISERROR(VLOOKUP(XMLTV[[#This Row],[SITE]]&amp;"-"&amp;XMLTV[[#This Row],[TVGID]],GUIDE[#All],1,0)),"✗","✓")</f>
        <v>✓</v>
      </c>
      <c r="E55" t="b">
        <v>1</v>
      </c>
    </row>
    <row r="56" spans="1:5" x14ac:dyDescent="0.55000000000000004">
      <c r="A56" t="s">
        <v>1934</v>
      </c>
      <c r="B56" t="s">
        <v>613</v>
      </c>
      <c r="C56" t="s">
        <v>934</v>
      </c>
      <c r="D56" s="8" t="str">
        <f>IF(ISERROR(VLOOKUP(XMLTV[[#This Row],[SITE]]&amp;"-"&amp;XMLTV[[#This Row],[TVGID]],GUIDE[#All],1,0)),"✗","✓")</f>
        <v>✓</v>
      </c>
      <c r="E56" t="b">
        <v>1</v>
      </c>
    </row>
    <row r="57" spans="1:5" x14ac:dyDescent="0.55000000000000004">
      <c r="A57" t="s">
        <v>1934</v>
      </c>
      <c r="B57" t="s">
        <v>533</v>
      </c>
      <c r="C57" t="s">
        <v>917</v>
      </c>
      <c r="D57" s="8" t="str">
        <f>IF(ISERROR(VLOOKUP(XMLTV[[#This Row],[SITE]]&amp;"-"&amp;XMLTV[[#This Row],[TVGID]],GUIDE[#All],1,0)),"✗","✓")</f>
        <v>✓</v>
      </c>
      <c r="E57" t="b">
        <v>1</v>
      </c>
    </row>
    <row r="58" spans="1:5" x14ac:dyDescent="0.55000000000000004">
      <c r="A58" t="s">
        <v>1934</v>
      </c>
      <c r="B58" t="s">
        <v>640</v>
      </c>
      <c r="C58" t="s">
        <v>934</v>
      </c>
      <c r="D58" s="8" t="str">
        <f>IF(ISERROR(VLOOKUP(XMLTV[[#This Row],[SITE]]&amp;"-"&amp;XMLTV[[#This Row],[TVGID]],GUIDE[#All],1,0)),"✗","✓")</f>
        <v>✓</v>
      </c>
      <c r="E58" t="b">
        <v>1</v>
      </c>
    </row>
    <row r="59" spans="1:5" x14ac:dyDescent="0.55000000000000004">
      <c r="A59" t="s">
        <v>1934</v>
      </c>
      <c r="B59" t="s">
        <v>598</v>
      </c>
      <c r="C59" t="s">
        <v>917</v>
      </c>
      <c r="D59" s="8" t="str">
        <f>IF(ISERROR(VLOOKUP(XMLTV[[#This Row],[SITE]]&amp;"-"&amp;XMLTV[[#This Row],[TVGID]],GUIDE[#All],1,0)),"✗","✓")</f>
        <v>✓</v>
      </c>
      <c r="E59" t="b">
        <v>1</v>
      </c>
    </row>
    <row r="60" spans="1:5" x14ac:dyDescent="0.55000000000000004">
      <c r="A60" t="s">
        <v>1934</v>
      </c>
      <c r="B60" t="s">
        <v>602</v>
      </c>
      <c r="C60" t="s">
        <v>917</v>
      </c>
      <c r="D60" s="8" t="str">
        <f>IF(ISERROR(VLOOKUP(XMLTV[[#This Row],[SITE]]&amp;"-"&amp;XMLTV[[#This Row],[TVGID]],GUIDE[#All],1,0)),"✗","✓")</f>
        <v>✓</v>
      </c>
      <c r="E60" t="b">
        <v>1</v>
      </c>
    </row>
    <row r="61" spans="1:5" x14ac:dyDescent="0.55000000000000004">
      <c r="A61" t="s">
        <v>1934</v>
      </c>
      <c r="B61" t="s">
        <v>601</v>
      </c>
      <c r="C61" t="s">
        <v>917</v>
      </c>
      <c r="D61" s="8" t="str">
        <f>IF(ISERROR(VLOOKUP(XMLTV[[#This Row],[SITE]]&amp;"-"&amp;XMLTV[[#This Row],[TVGID]],GUIDE[#All],1,0)),"✗","✓")</f>
        <v>✓</v>
      </c>
      <c r="E61" t="b">
        <v>1</v>
      </c>
    </row>
    <row r="62" spans="1:5" x14ac:dyDescent="0.55000000000000004">
      <c r="A62" t="s">
        <v>1934</v>
      </c>
      <c r="B62" t="s">
        <v>599</v>
      </c>
      <c r="C62" t="s">
        <v>917</v>
      </c>
      <c r="D62" s="8" t="str">
        <f>IF(ISERROR(VLOOKUP(XMLTV[[#This Row],[SITE]]&amp;"-"&amp;XMLTV[[#This Row],[TVGID]],GUIDE[#All],1,0)),"✗","✓")</f>
        <v>✓</v>
      </c>
      <c r="E62" t="b">
        <v>1</v>
      </c>
    </row>
    <row r="63" spans="1:5" x14ac:dyDescent="0.55000000000000004">
      <c r="A63" t="s">
        <v>1934</v>
      </c>
      <c r="B63" t="s">
        <v>575</v>
      </c>
      <c r="C63" t="s">
        <v>934</v>
      </c>
      <c r="D63" s="8" t="str">
        <f>IF(ISERROR(VLOOKUP(XMLTV[[#This Row],[SITE]]&amp;"-"&amp;XMLTV[[#This Row],[TVGID]],GUIDE[#All],1,0)),"✗","✓")</f>
        <v>✓</v>
      </c>
      <c r="E63" t="b">
        <v>1</v>
      </c>
    </row>
    <row r="64" spans="1:5" x14ac:dyDescent="0.55000000000000004">
      <c r="A64" t="s">
        <v>1934</v>
      </c>
      <c r="B64" t="s">
        <v>556</v>
      </c>
      <c r="C64" t="s">
        <v>919</v>
      </c>
      <c r="D64" s="8" t="str">
        <f>IF(ISERROR(VLOOKUP(XMLTV[[#This Row],[SITE]]&amp;"-"&amp;XMLTV[[#This Row],[TVGID]],GUIDE[#All],1,0)),"✗","✓")</f>
        <v>✓</v>
      </c>
      <c r="E64" t="b">
        <v>1</v>
      </c>
    </row>
    <row r="65" spans="1:5" x14ac:dyDescent="0.55000000000000004">
      <c r="A65" t="s">
        <v>1934</v>
      </c>
      <c r="B65" t="s">
        <v>580</v>
      </c>
      <c r="C65" t="s">
        <v>934</v>
      </c>
      <c r="D65" s="8" t="str">
        <f>IF(ISERROR(VLOOKUP(XMLTV[[#This Row],[SITE]]&amp;"-"&amp;XMLTV[[#This Row],[TVGID]],GUIDE[#All],1,0)),"✗","✓")</f>
        <v>✓</v>
      </c>
      <c r="E65" t="b">
        <v>1</v>
      </c>
    </row>
    <row r="66" spans="1:5" x14ac:dyDescent="0.55000000000000004">
      <c r="A66" t="s">
        <v>1934</v>
      </c>
      <c r="B66" t="s">
        <v>603</v>
      </c>
      <c r="C66" t="s">
        <v>934</v>
      </c>
      <c r="D66" s="8" t="str">
        <f>IF(ISERROR(VLOOKUP(XMLTV[[#This Row],[SITE]]&amp;"-"&amp;XMLTV[[#This Row],[TVGID]],GUIDE[#All],1,0)),"✗","✓")</f>
        <v>✓</v>
      </c>
      <c r="E66" t="b">
        <v>1</v>
      </c>
    </row>
    <row r="67" spans="1:5" x14ac:dyDescent="0.55000000000000004">
      <c r="A67" t="s">
        <v>1934</v>
      </c>
      <c r="B67" t="s">
        <v>642</v>
      </c>
      <c r="C67" t="s">
        <v>934</v>
      </c>
      <c r="D67" s="8" t="str">
        <f>IF(ISERROR(VLOOKUP(XMLTV[[#This Row],[SITE]]&amp;"-"&amp;XMLTV[[#This Row],[TVGID]],GUIDE[#All],1,0)),"✗","✓")</f>
        <v>✓</v>
      </c>
      <c r="E67" t="b">
        <v>1</v>
      </c>
    </row>
    <row r="68" spans="1:5" x14ac:dyDescent="0.55000000000000004">
      <c r="A68" t="s">
        <v>1934</v>
      </c>
      <c r="B68" t="s">
        <v>567</v>
      </c>
      <c r="C68" t="s">
        <v>918</v>
      </c>
      <c r="D68" s="8" t="str">
        <f>IF(ISERROR(VLOOKUP(XMLTV[[#This Row],[SITE]]&amp;"-"&amp;XMLTV[[#This Row],[TVGID]],GUIDE[#All],1,0)),"✗","✓")</f>
        <v>✓</v>
      </c>
      <c r="E68" t="b">
        <v>1</v>
      </c>
    </row>
    <row r="69" spans="1:5" x14ac:dyDescent="0.55000000000000004">
      <c r="A69" t="s">
        <v>1934</v>
      </c>
      <c r="B69" t="s">
        <v>624</v>
      </c>
      <c r="D69" s="8" t="str">
        <f>IF(ISERROR(VLOOKUP(XMLTV[[#This Row],[SITE]]&amp;"-"&amp;XMLTV[[#This Row],[TVGID]],GUIDE[#All],1,0)),"✗","✓")</f>
        <v>✗</v>
      </c>
      <c r="E69" t="b">
        <v>1</v>
      </c>
    </row>
    <row r="70" spans="1:5" x14ac:dyDescent="0.55000000000000004">
      <c r="A70" t="s">
        <v>1934</v>
      </c>
      <c r="B70" t="s">
        <v>539</v>
      </c>
      <c r="C70" t="s">
        <v>934</v>
      </c>
      <c r="D70" s="8" t="str">
        <f>IF(ISERROR(VLOOKUP(XMLTV[[#This Row],[SITE]]&amp;"-"&amp;XMLTV[[#This Row],[TVGID]],GUIDE[#All],1,0)),"✗","✓")</f>
        <v>✓</v>
      </c>
      <c r="E70" t="b">
        <v>1</v>
      </c>
    </row>
    <row r="71" spans="1:5" x14ac:dyDescent="0.55000000000000004">
      <c r="A71" t="s">
        <v>1934</v>
      </c>
      <c r="B71" t="s">
        <v>612</v>
      </c>
      <c r="C71" t="s">
        <v>934</v>
      </c>
      <c r="D71" s="8" t="str">
        <f>IF(ISERROR(VLOOKUP(XMLTV[[#This Row],[SITE]]&amp;"-"&amp;XMLTV[[#This Row],[TVGID]],GUIDE[#All],1,0)),"✗","✓")</f>
        <v>✓</v>
      </c>
      <c r="E71" t="b">
        <v>1</v>
      </c>
    </row>
    <row r="72" spans="1:5" x14ac:dyDescent="0.55000000000000004">
      <c r="A72" t="s">
        <v>1934</v>
      </c>
      <c r="B72" t="s">
        <v>532</v>
      </c>
      <c r="C72" t="s">
        <v>919</v>
      </c>
      <c r="D72" s="8" t="str">
        <f>IF(ISERROR(VLOOKUP(XMLTV[[#This Row],[SITE]]&amp;"-"&amp;XMLTV[[#This Row],[TVGID]],GUIDE[#All],1,0)),"✗","✓")</f>
        <v>✓</v>
      </c>
      <c r="E72" t="b">
        <v>1</v>
      </c>
    </row>
    <row r="73" spans="1:5" x14ac:dyDescent="0.55000000000000004">
      <c r="A73" t="s">
        <v>1934</v>
      </c>
      <c r="B73" t="s">
        <v>916</v>
      </c>
      <c r="C73" t="s">
        <v>934</v>
      </c>
      <c r="D73" s="8" t="str">
        <f>IF(ISERROR(VLOOKUP(XMLTV[[#This Row],[SITE]]&amp;"-"&amp;XMLTV[[#This Row],[TVGID]],GUIDE[#All],1,0)),"✗","✓")</f>
        <v>✓</v>
      </c>
      <c r="E73" t="b">
        <v>1</v>
      </c>
    </row>
    <row r="74" spans="1:5" x14ac:dyDescent="0.55000000000000004">
      <c r="A74" t="s">
        <v>1934</v>
      </c>
      <c r="B74" t="s">
        <v>557</v>
      </c>
      <c r="C74" t="s">
        <v>922</v>
      </c>
      <c r="D74" s="8" t="str">
        <f>IF(ISERROR(VLOOKUP(XMLTV[[#This Row],[SITE]]&amp;"-"&amp;XMLTV[[#This Row],[TVGID]],GUIDE[#All],1,0)),"✗","✓")</f>
        <v>✓</v>
      </c>
      <c r="E74" t="b">
        <v>1</v>
      </c>
    </row>
    <row r="75" spans="1:5" x14ac:dyDescent="0.55000000000000004">
      <c r="A75" t="s">
        <v>1934</v>
      </c>
      <c r="B75" t="s">
        <v>536</v>
      </c>
      <c r="C75" t="s">
        <v>934</v>
      </c>
      <c r="D75" s="8" t="str">
        <f>IF(ISERROR(VLOOKUP(XMLTV[[#This Row],[SITE]]&amp;"-"&amp;XMLTV[[#This Row],[TVGID]],GUIDE[#All],1,0)),"✗","✓")</f>
        <v>✓</v>
      </c>
      <c r="E75" t="b">
        <v>1</v>
      </c>
    </row>
    <row r="76" spans="1:5" x14ac:dyDescent="0.55000000000000004">
      <c r="A76" t="s">
        <v>1934</v>
      </c>
      <c r="B76" t="s">
        <v>548</v>
      </c>
      <c r="C76" t="s">
        <v>918</v>
      </c>
      <c r="D76" s="8" t="str">
        <f>IF(ISERROR(VLOOKUP(XMLTV[[#This Row],[SITE]]&amp;"-"&amp;XMLTV[[#This Row],[TVGID]],GUIDE[#All],1,0)),"✗","✓")</f>
        <v>✓</v>
      </c>
      <c r="E76" t="b">
        <v>1</v>
      </c>
    </row>
    <row r="77" spans="1:5" x14ac:dyDescent="0.55000000000000004">
      <c r="A77" t="s">
        <v>1934</v>
      </c>
      <c r="B77" t="s">
        <v>543</v>
      </c>
      <c r="C77" t="s">
        <v>919</v>
      </c>
      <c r="D77" s="8" t="str">
        <f>IF(ISERROR(VLOOKUP(XMLTV[[#This Row],[SITE]]&amp;"-"&amp;XMLTV[[#This Row],[TVGID]],GUIDE[#All],1,0)),"✗","✓")</f>
        <v>✓</v>
      </c>
      <c r="E77" t="b">
        <v>1</v>
      </c>
    </row>
    <row r="78" spans="1:5" x14ac:dyDescent="0.55000000000000004">
      <c r="A78" t="s">
        <v>1934</v>
      </c>
      <c r="B78" t="s">
        <v>585</v>
      </c>
      <c r="C78" t="s">
        <v>922</v>
      </c>
      <c r="D78" s="8" t="str">
        <f>IF(ISERROR(VLOOKUP(XMLTV[[#This Row],[SITE]]&amp;"-"&amp;XMLTV[[#This Row],[TVGID]],GUIDE[#All],1,0)),"✗","✓")</f>
        <v>✓</v>
      </c>
      <c r="E78" t="b">
        <v>1</v>
      </c>
    </row>
    <row r="79" spans="1:5" x14ac:dyDescent="0.55000000000000004">
      <c r="A79" t="s">
        <v>1934</v>
      </c>
      <c r="B79" t="s">
        <v>579</v>
      </c>
      <c r="C79" t="s">
        <v>919</v>
      </c>
      <c r="D79" s="8" t="str">
        <f>IF(ISERROR(VLOOKUP(XMLTV[[#This Row],[SITE]]&amp;"-"&amp;XMLTV[[#This Row],[TVGID]],GUIDE[#All],1,0)),"✗","✓")</f>
        <v>✓</v>
      </c>
      <c r="E79" t="b">
        <v>1</v>
      </c>
    </row>
    <row r="80" spans="1:5" x14ac:dyDescent="0.55000000000000004">
      <c r="A80" t="s">
        <v>1934</v>
      </c>
      <c r="B80" t="s">
        <v>534</v>
      </c>
      <c r="C80" t="s">
        <v>934</v>
      </c>
      <c r="D80" s="8" t="str">
        <f>IF(ISERROR(VLOOKUP(XMLTV[[#This Row],[SITE]]&amp;"-"&amp;XMLTV[[#This Row],[TVGID]],GUIDE[#All],1,0)),"✗","✓")</f>
        <v>✓</v>
      </c>
      <c r="E80" t="b">
        <v>1</v>
      </c>
    </row>
    <row r="81" spans="1:5" x14ac:dyDescent="0.55000000000000004">
      <c r="A81" t="s">
        <v>1934</v>
      </c>
      <c r="B81" t="s">
        <v>588</v>
      </c>
      <c r="C81" t="s">
        <v>917</v>
      </c>
      <c r="D81" s="8" t="str">
        <f>IF(ISERROR(VLOOKUP(XMLTV[[#This Row],[SITE]]&amp;"-"&amp;XMLTV[[#This Row],[TVGID]],GUIDE[#All],1,0)),"✗","✓")</f>
        <v>✓</v>
      </c>
      <c r="E81" t="b">
        <v>1</v>
      </c>
    </row>
    <row r="82" spans="1:5" x14ac:dyDescent="0.55000000000000004">
      <c r="A82" t="s">
        <v>1934</v>
      </c>
      <c r="B82" t="s">
        <v>578</v>
      </c>
      <c r="C82" t="s">
        <v>919</v>
      </c>
      <c r="D82" s="8" t="str">
        <f>IF(ISERROR(VLOOKUP(XMLTV[[#This Row],[SITE]]&amp;"-"&amp;XMLTV[[#This Row],[TVGID]],GUIDE[#All],1,0)),"✗","✓")</f>
        <v>✓</v>
      </c>
      <c r="E82" t="b">
        <v>1</v>
      </c>
    </row>
    <row r="83" spans="1:5" x14ac:dyDescent="0.55000000000000004">
      <c r="A83" t="s">
        <v>1934</v>
      </c>
      <c r="B83" t="s">
        <v>559</v>
      </c>
      <c r="C83" t="s">
        <v>919</v>
      </c>
      <c r="D83" s="8" t="str">
        <f>IF(ISERROR(VLOOKUP(XMLTV[[#This Row],[SITE]]&amp;"-"&amp;XMLTV[[#This Row],[TVGID]],GUIDE[#All],1,0)),"✗","✓")</f>
        <v>✓</v>
      </c>
      <c r="E83" t="b">
        <v>1</v>
      </c>
    </row>
    <row r="84" spans="1:5" x14ac:dyDescent="0.55000000000000004">
      <c r="A84" t="s">
        <v>1934</v>
      </c>
      <c r="B84" t="s">
        <v>675</v>
      </c>
      <c r="C84" t="s">
        <v>934</v>
      </c>
      <c r="D84" s="8" t="str">
        <f>IF(ISERROR(VLOOKUP(XMLTV[[#This Row],[SITE]]&amp;"-"&amp;XMLTV[[#This Row],[TVGID]],GUIDE[#All],1,0)),"✗","✓")</f>
        <v>✓</v>
      </c>
      <c r="E84" t="b">
        <v>1</v>
      </c>
    </row>
    <row r="85" spans="1:5" x14ac:dyDescent="0.55000000000000004">
      <c r="A85" t="s">
        <v>1934</v>
      </c>
      <c r="B85" t="s">
        <v>677</v>
      </c>
      <c r="C85" t="s">
        <v>934</v>
      </c>
      <c r="D85" s="8" t="str">
        <f>IF(ISERROR(VLOOKUP(XMLTV[[#This Row],[SITE]]&amp;"-"&amp;XMLTV[[#This Row],[TVGID]],GUIDE[#All],1,0)),"✗","✓")</f>
        <v>✓</v>
      </c>
      <c r="E85" t="b">
        <v>1</v>
      </c>
    </row>
    <row r="86" spans="1:5" x14ac:dyDescent="0.55000000000000004">
      <c r="A86" t="s">
        <v>1934</v>
      </c>
      <c r="B86" t="s">
        <v>676</v>
      </c>
      <c r="C86" t="s">
        <v>934</v>
      </c>
      <c r="D86" s="8" t="str">
        <f>IF(ISERROR(VLOOKUP(XMLTV[[#This Row],[SITE]]&amp;"-"&amp;XMLTV[[#This Row],[TVGID]],GUIDE[#All],1,0)),"✗","✓")</f>
        <v>✓</v>
      </c>
      <c r="E86" t="b">
        <v>1</v>
      </c>
    </row>
    <row r="87" spans="1:5" x14ac:dyDescent="0.55000000000000004">
      <c r="A87" t="s">
        <v>1934</v>
      </c>
      <c r="B87" t="s">
        <v>678</v>
      </c>
      <c r="C87" t="s">
        <v>934</v>
      </c>
      <c r="D87" s="8" t="str">
        <f>IF(ISERROR(VLOOKUP(XMLTV[[#This Row],[SITE]]&amp;"-"&amp;XMLTV[[#This Row],[TVGID]],GUIDE[#All],1,0)),"✗","✓")</f>
        <v>✓</v>
      </c>
      <c r="E87" t="b">
        <v>1</v>
      </c>
    </row>
    <row r="88" spans="1:5" x14ac:dyDescent="0.55000000000000004">
      <c r="A88" t="s">
        <v>1934</v>
      </c>
      <c r="B88" t="s">
        <v>673</v>
      </c>
      <c r="C88" t="s">
        <v>934</v>
      </c>
      <c r="D88" s="8" t="str">
        <f>IF(ISERROR(VLOOKUP(XMLTV[[#This Row],[SITE]]&amp;"-"&amp;XMLTV[[#This Row],[TVGID]],GUIDE[#All],1,0)),"✗","✓")</f>
        <v>✓</v>
      </c>
      <c r="E88" t="b">
        <v>1</v>
      </c>
    </row>
    <row r="89" spans="1:5" x14ac:dyDescent="0.55000000000000004">
      <c r="A89" t="s">
        <v>1934</v>
      </c>
      <c r="B89" t="s">
        <v>521</v>
      </c>
      <c r="C89" t="s">
        <v>934</v>
      </c>
      <c r="D89" s="8" t="str">
        <f>IF(ISERROR(VLOOKUP(XMLTV[[#This Row],[SITE]]&amp;"-"&amp;XMLTV[[#This Row],[TVGID]],GUIDE[#All],1,0)),"✗","✓")</f>
        <v>✓</v>
      </c>
      <c r="E89" t="b">
        <v>1</v>
      </c>
    </row>
    <row r="90" spans="1:5" x14ac:dyDescent="0.55000000000000004">
      <c r="A90" t="s">
        <v>1934</v>
      </c>
      <c r="B90" t="s">
        <v>924</v>
      </c>
      <c r="C90" t="s">
        <v>919</v>
      </c>
      <c r="D90" s="8" t="str">
        <f>IF(ISERROR(VLOOKUP(XMLTV[[#This Row],[SITE]]&amp;"-"&amp;XMLTV[[#This Row],[TVGID]],GUIDE[#All],1,0)),"✗","✓")</f>
        <v>✓</v>
      </c>
      <c r="E90" t="b">
        <v>1</v>
      </c>
    </row>
    <row r="91" spans="1:5" x14ac:dyDescent="0.55000000000000004">
      <c r="A91" t="s">
        <v>1934</v>
      </c>
      <c r="B91" t="s">
        <v>568</v>
      </c>
      <c r="C91" t="s">
        <v>919</v>
      </c>
      <c r="D91" s="8" t="str">
        <f>IF(ISERROR(VLOOKUP(XMLTV[[#This Row],[SITE]]&amp;"-"&amp;XMLTV[[#This Row],[TVGID]],GUIDE[#All],1,0)),"✗","✓")</f>
        <v>✓</v>
      </c>
      <c r="E91" t="b">
        <v>1</v>
      </c>
    </row>
    <row r="92" spans="1:5" x14ac:dyDescent="0.55000000000000004">
      <c r="A92" t="s">
        <v>1934</v>
      </c>
      <c r="B92" t="s">
        <v>523</v>
      </c>
      <c r="C92" t="s">
        <v>934</v>
      </c>
      <c r="D92" s="8" t="str">
        <f>IF(ISERROR(VLOOKUP(XMLTV[[#This Row],[SITE]]&amp;"-"&amp;XMLTV[[#This Row],[TVGID]],GUIDE[#All],1,0)),"✗","✓")</f>
        <v>✓</v>
      </c>
      <c r="E92" t="b">
        <v>1</v>
      </c>
    </row>
    <row r="93" spans="1:5" x14ac:dyDescent="0.55000000000000004">
      <c r="A93" t="s">
        <v>1934</v>
      </c>
      <c r="B93" t="s">
        <v>649</v>
      </c>
      <c r="C93" t="s">
        <v>934</v>
      </c>
      <c r="D93" s="8" t="str">
        <f>IF(ISERROR(VLOOKUP(XMLTV[[#This Row],[SITE]]&amp;"-"&amp;XMLTV[[#This Row],[TVGID]],GUIDE[#All],1,0)),"✗","✓")</f>
        <v>✓</v>
      </c>
      <c r="E93" t="b">
        <v>1</v>
      </c>
    </row>
    <row r="94" spans="1:5" x14ac:dyDescent="0.55000000000000004">
      <c r="A94" t="s">
        <v>1934</v>
      </c>
      <c r="B94" t="s">
        <v>545</v>
      </c>
      <c r="C94" t="s">
        <v>919</v>
      </c>
      <c r="D94" s="8" t="str">
        <f>IF(ISERROR(VLOOKUP(XMLTV[[#This Row],[SITE]]&amp;"-"&amp;XMLTV[[#This Row],[TVGID]],GUIDE[#All],1,0)),"✗","✓")</f>
        <v>✓</v>
      </c>
      <c r="E94" t="b">
        <v>1</v>
      </c>
    </row>
    <row r="95" spans="1:5" x14ac:dyDescent="0.55000000000000004">
      <c r="A95" t="s">
        <v>1934</v>
      </c>
      <c r="B95" t="s">
        <v>658</v>
      </c>
      <c r="C95" t="s">
        <v>934</v>
      </c>
      <c r="D95" s="8" t="str">
        <f>IF(ISERROR(VLOOKUP(XMLTV[[#This Row],[SITE]]&amp;"-"&amp;XMLTV[[#This Row],[TVGID]],GUIDE[#All],1,0)),"✗","✓")</f>
        <v>✓</v>
      </c>
      <c r="E95" t="b">
        <v>1</v>
      </c>
    </row>
    <row r="96" spans="1:5" x14ac:dyDescent="0.55000000000000004">
      <c r="A96" t="s">
        <v>1934</v>
      </c>
      <c r="B96" t="s">
        <v>634</v>
      </c>
      <c r="C96" t="s">
        <v>934</v>
      </c>
      <c r="D96" s="8" t="str">
        <f>IF(ISERROR(VLOOKUP(XMLTV[[#This Row],[SITE]]&amp;"-"&amp;XMLTV[[#This Row],[TVGID]],GUIDE[#All],1,0)),"✗","✓")</f>
        <v>✓</v>
      </c>
      <c r="E96" t="b">
        <v>1</v>
      </c>
    </row>
    <row r="97" spans="1:5" x14ac:dyDescent="0.55000000000000004">
      <c r="A97" t="s">
        <v>1934</v>
      </c>
      <c r="B97" t="s">
        <v>633</v>
      </c>
      <c r="C97" t="s">
        <v>934</v>
      </c>
      <c r="D97" s="8" t="str">
        <f>IF(ISERROR(VLOOKUP(XMLTV[[#This Row],[SITE]]&amp;"-"&amp;XMLTV[[#This Row],[TVGID]],GUIDE[#All],1,0)),"✗","✓")</f>
        <v>✓</v>
      </c>
      <c r="E97" t="b">
        <v>1</v>
      </c>
    </row>
    <row r="98" spans="1:5" x14ac:dyDescent="0.55000000000000004">
      <c r="A98" t="s">
        <v>1934</v>
      </c>
      <c r="B98" t="s">
        <v>573</v>
      </c>
      <c r="C98" t="s">
        <v>934</v>
      </c>
      <c r="D98" s="8" t="str">
        <f>IF(ISERROR(VLOOKUP(XMLTV[[#This Row],[SITE]]&amp;"-"&amp;XMLTV[[#This Row],[TVGID]],GUIDE[#All],1,0)),"✗","✓")</f>
        <v>✓</v>
      </c>
      <c r="E98" t="b">
        <v>1</v>
      </c>
    </row>
    <row r="99" spans="1:5" x14ac:dyDescent="0.55000000000000004">
      <c r="A99" t="s">
        <v>1934</v>
      </c>
      <c r="B99" t="s">
        <v>566</v>
      </c>
      <c r="C99" t="s">
        <v>934</v>
      </c>
      <c r="D99" s="8" t="str">
        <f>IF(ISERROR(VLOOKUP(XMLTV[[#This Row],[SITE]]&amp;"-"&amp;XMLTV[[#This Row],[TVGID]],GUIDE[#All],1,0)),"✗","✓")</f>
        <v>✓</v>
      </c>
      <c r="E99" t="b">
        <v>1</v>
      </c>
    </row>
    <row r="100" spans="1:5" x14ac:dyDescent="0.55000000000000004">
      <c r="A100" t="s">
        <v>1934</v>
      </c>
      <c r="B100" t="s">
        <v>621</v>
      </c>
      <c r="C100" t="s">
        <v>922</v>
      </c>
      <c r="D100" s="8" t="str">
        <f>IF(ISERROR(VLOOKUP(XMLTV[[#This Row],[SITE]]&amp;"-"&amp;XMLTV[[#This Row],[TVGID]],GUIDE[#All],1,0)),"✗","✓")</f>
        <v>✓</v>
      </c>
      <c r="E100" t="b">
        <v>1</v>
      </c>
    </row>
    <row r="101" spans="1:5" x14ac:dyDescent="0.55000000000000004">
      <c r="A101" t="s">
        <v>1934</v>
      </c>
      <c r="B101" t="s">
        <v>935</v>
      </c>
      <c r="C101" t="s">
        <v>934</v>
      </c>
      <c r="D101" s="8" t="str">
        <f>IF(ISERROR(VLOOKUP(XMLTV[[#This Row],[SITE]]&amp;"-"&amp;XMLTV[[#This Row],[TVGID]],GUIDE[#All],1,0)),"✗","✓")</f>
        <v>✓</v>
      </c>
      <c r="E101" t="b">
        <v>1</v>
      </c>
    </row>
    <row r="102" spans="1:5" x14ac:dyDescent="0.55000000000000004">
      <c r="A102" t="s">
        <v>1934</v>
      </c>
      <c r="B102" t="s">
        <v>936</v>
      </c>
      <c r="C102" t="s">
        <v>934</v>
      </c>
      <c r="D102" s="8" t="str">
        <f>IF(ISERROR(VLOOKUP(XMLTV[[#This Row],[SITE]]&amp;"-"&amp;XMLTV[[#This Row],[TVGID]],GUIDE[#All],1,0)),"✗","✓")</f>
        <v>✓</v>
      </c>
      <c r="E102" t="b">
        <v>1</v>
      </c>
    </row>
    <row r="103" spans="1:5" x14ac:dyDescent="0.55000000000000004">
      <c r="A103" t="s">
        <v>1934</v>
      </c>
      <c r="B103" t="s">
        <v>937</v>
      </c>
      <c r="C103" t="s">
        <v>934</v>
      </c>
      <c r="D103" s="8" t="str">
        <f>IF(ISERROR(VLOOKUP(XMLTV[[#This Row],[SITE]]&amp;"-"&amp;XMLTV[[#This Row],[TVGID]],GUIDE[#All],1,0)),"✗","✓")</f>
        <v>✓</v>
      </c>
      <c r="E103" t="b">
        <v>1</v>
      </c>
    </row>
    <row r="104" spans="1:5" x14ac:dyDescent="0.55000000000000004">
      <c r="A104" t="s">
        <v>1934</v>
      </c>
      <c r="B104" t="s">
        <v>628</v>
      </c>
      <c r="C104" t="s">
        <v>934</v>
      </c>
      <c r="D104" s="8" t="str">
        <f>IF(ISERROR(VLOOKUP(XMLTV[[#This Row],[SITE]]&amp;"-"&amp;XMLTV[[#This Row],[TVGID]],GUIDE[#All],1,0)),"✗","✓")</f>
        <v>✓</v>
      </c>
      <c r="E104" t="b">
        <v>1</v>
      </c>
    </row>
    <row r="105" spans="1:5" x14ac:dyDescent="0.55000000000000004">
      <c r="A105" t="s">
        <v>1934</v>
      </c>
      <c r="B105" t="s">
        <v>587</v>
      </c>
      <c r="C105" t="s">
        <v>919</v>
      </c>
      <c r="D105" s="8" t="str">
        <f>IF(ISERROR(VLOOKUP(XMLTV[[#This Row],[SITE]]&amp;"-"&amp;XMLTV[[#This Row],[TVGID]],GUIDE[#All],1,0)),"✗","✓")</f>
        <v>✓</v>
      </c>
      <c r="E105" t="b">
        <v>1</v>
      </c>
    </row>
    <row r="106" spans="1:5" x14ac:dyDescent="0.55000000000000004">
      <c r="A106" t="s">
        <v>1934</v>
      </c>
      <c r="B106" t="s">
        <v>561</v>
      </c>
      <c r="C106" t="s">
        <v>934</v>
      </c>
      <c r="D106" s="8" t="str">
        <f>IF(ISERROR(VLOOKUP(XMLTV[[#This Row],[SITE]]&amp;"-"&amp;XMLTV[[#This Row],[TVGID]],GUIDE[#All],1,0)),"✗","✓")</f>
        <v>✓</v>
      </c>
      <c r="E106" t="b">
        <v>1</v>
      </c>
    </row>
    <row r="107" spans="1:5" x14ac:dyDescent="0.55000000000000004">
      <c r="A107" t="s">
        <v>1934</v>
      </c>
      <c r="B107" t="s">
        <v>562</v>
      </c>
      <c r="C107" t="s">
        <v>934</v>
      </c>
      <c r="D107" s="8" t="str">
        <f>IF(ISERROR(VLOOKUP(XMLTV[[#This Row],[SITE]]&amp;"-"&amp;XMLTV[[#This Row],[TVGID]],GUIDE[#All],1,0)),"✗","✓")</f>
        <v>✓</v>
      </c>
      <c r="E107" t="b">
        <v>1</v>
      </c>
    </row>
    <row r="108" spans="1:5" x14ac:dyDescent="0.55000000000000004">
      <c r="A108" t="s">
        <v>1934</v>
      </c>
      <c r="B108" t="s">
        <v>577</v>
      </c>
      <c r="C108" t="s">
        <v>912</v>
      </c>
      <c r="D108" s="8" t="str">
        <f>IF(ISERROR(VLOOKUP(XMLTV[[#This Row],[SITE]]&amp;"-"&amp;XMLTV[[#This Row],[TVGID]],GUIDE[#All],1,0)),"✗","✓")</f>
        <v>✓</v>
      </c>
      <c r="E108" t="b">
        <v>1</v>
      </c>
    </row>
    <row r="109" spans="1:5" x14ac:dyDescent="0.55000000000000004">
      <c r="A109" t="s">
        <v>1934</v>
      </c>
      <c r="B109" t="s">
        <v>546</v>
      </c>
      <c r="C109" t="s">
        <v>917</v>
      </c>
      <c r="D109" s="8" t="str">
        <f>IF(ISERROR(VLOOKUP(XMLTV[[#This Row],[SITE]]&amp;"-"&amp;XMLTV[[#This Row],[TVGID]],GUIDE[#All],1,0)),"✗","✓")</f>
        <v>✓</v>
      </c>
      <c r="E109" t="b">
        <v>1</v>
      </c>
    </row>
    <row r="110" spans="1:5" hidden="1" x14ac:dyDescent="0.55000000000000004">
      <c r="A110" t="s">
        <v>1934</v>
      </c>
      <c r="B110" t="s">
        <v>595</v>
      </c>
      <c r="C110" t="s">
        <v>919</v>
      </c>
      <c r="D110" s="8" t="str">
        <f>IF(ISERROR(VLOOKUP(XMLTV[[#This Row],[SITE]]&amp;"-"&amp;XMLTV[[#This Row],[TVGID]],GUIDE[#All],1,0)),"✗","✓")</f>
        <v>✓</v>
      </c>
      <c r="E110" t="b">
        <v>0</v>
      </c>
    </row>
    <row r="111" spans="1:5" x14ac:dyDescent="0.55000000000000004">
      <c r="A111" t="s">
        <v>1934</v>
      </c>
      <c r="B111" t="s">
        <v>596</v>
      </c>
      <c r="C111" t="s">
        <v>934</v>
      </c>
      <c r="D111" s="8" t="str">
        <f>IF(ISERROR(VLOOKUP(XMLTV[[#This Row],[SITE]]&amp;"-"&amp;XMLTV[[#This Row],[TVGID]],GUIDE[#All],1,0)),"✗","✓")</f>
        <v>✓</v>
      </c>
      <c r="E111" t="b">
        <v>1</v>
      </c>
    </row>
    <row r="112" spans="1:5" x14ac:dyDescent="0.55000000000000004">
      <c r="A112" t="s">
        <v>1934</v>
      </c>
      <c r="B112" t="s">
        <v>631</v>
      </c>
      <c r="C112" t="s">
        <v>934</v>
      </c>
      <c r="D112" s="8" t="str">
        <f>IF(ISERROR(VLOOKUP(XMLTV[[#This Row],[SITE]]&amp;"-"&amp;XMLTV[[#This Row],[TVGID]],GUIDE[#All],1,0)),"✗","✓")</f>
        <v>✓</v>
      </c>
      <c r="E112" t="b">
        <v>1</v>
      </c>
    </row>
    <row r="113" spans="1:5" x14ac:dyDescent="0.55000000000000004">
      <c r="A113" t="s">
        <v>1934</v>
      </c>
      <c r="B113" t="s">
        <v>574</v>
      </c>
      <c r="C113" t="s">
        <v>934</v>
      </c>
      <c r="D113" s="8" t="str">
        <f>IF(ISERROR(VLOOKUP(XMLTV[[#This Row],[SITE]]&amp;"-"&amp;XMLTV[[#This Row],[TVGID]],GUIDE[#All],1,0)),"✗","✓")</f>
        <v>✓</v>
      </c>
      <c r="E113" t="b">
        <v>1</v>
      </c>
    </row>
    <row r="114" spans="1:5" x14ac:dyDescent="0.55000000000000004">
      <c r="A114" t="s">
        <v>1934</v>
      </c>
      <c r="B114" t="s">
        <v>538</v>
      </c>
      <c r="C114" t="s">
        <v>919</v>
      </c>
      <c r="D114" s="8" t="str">
        <f>IF(ISERROR(VLOOKUP(XMLTV[[#This Row],[SITE]]&amp;"-"&amp;XMLTV[[#This Row],[TVGID]],GUIDE[#All],1,0)),"✗","✓")</f>
        <v>✓</v>
      </c>
      <c r="E114" t="b">
        <v>1</v>
      </c>
    </row>
    <row r="115" spans="1:5" x14ac:dyDescent="0.55000000000000004">
      <c r="A115" t="s">
        <v>1934</v>
      </c>
      <c r="B115" t="s">
        <v>639</v>
      </c>
      <c r="C115" t="s">
        <v>934</v>
      </c>
      <c r="D115" s="8" t="str">
        <f>IF(ISERROR(VLOOKUP(XMLTV[[#This Row],[SITE]]&amp;"-"&amp;XMLTV[[#This Row],[TVGID]],GUIDE[#All],1,0)),"✗","✓")</f>
        <v>✓</v>
      </c>
      <c r="E115" t="b">
        <v>1</v>
      </c>
    </row>
    <row r="116" spans="1:5" x14ac:dyDescent="0.55000000000000004">
      <c r="A116" t="s">
        <v>1934</v>
      </c>
      <c r="B116" t="s">
        <v>928</v>
      </c>
      <c r="C116" t="s">
        <v>934</v>
      </c>
      <c r="D116" s="8" t="str">
        <f>IF(ISERROR(VLOOKUP(XMLTV[[#This Row],[SITE]]&amp;"-"&amp;XMLTV[[#This Row],[TVGID]],GUIDE[#All],1,0)),"✗","✓")</f>
        <v>✓</v>
      </c>
      <c r="E116" t="b">
        <v>1</v>
      </c>
    </row>
    <row r="117" spans="1:5" x14ac:dyDescent="0.55000000000000004">
      <c r="A117" t="s">
        <v>1934</v>
      </c>
      <c r="B117" t="s">
        <v>583</v>
      </c>
      <c r="C117" t="s">
        <v>934</v>
      </c>
      <c r="D117" s="8" t="str">
        <f>IF(ISERROR(VLOOKUP(XMLTV[[#This Row],[SITE]]&amp;"-"&amp;XMLTV[[#This Row],[TVGID]],GUIDE[#All],1,0)),"✗","✓")</f>
        <v>✓</v>
      </c>
      <c r="E117" t="b">
        <v>1</v>
      </c>
    </row>
    <row r="118" spans="1:5" x14ac:dyDescent="0.55000000000000004">
      <c r="A118" t="s">
        <v>1934</v>
      </c>
      <c r="B118" t="s">
        <v>632</v>
      </c>
      <c r="C118" t="s">
        <v>934</v>
      </c>
      <c r="D118" s="8" t="str">
        <f>IF(ISERROR(VLOOKUP(XMLTV[[#This Row],[SITE]]&amp;"-"&amp;XMLTV[[#This Row],[TVGID]],GUIDE[#All],1,0)),"✗","✓")</f>
        <v>✓</v>
      </c>
      <c r="E118" t="b">
        <v>1</v>
      </c>
    </row>
    <row r="119" spans="1:5" x14ac:dyDescent="0.55000000000000004">
      <c r="A119" t="s">
        <v>1934</v>
      </c>
      <c r="B119" t="s">
        <v>654</v>
      </c>
      <c r="C119" t="s">
        <v>919</v>
      </c>
      <c r="D119" s="8" t="str">
        <f>IF(ISERROR(VLOOKUP(XMLTV[[#This Row],[SITE]]&amp;"-"&amp;XMLTV[[#This Row],[TVGID]],GUIDE[#All],1,0)),"✗","✓")</f>
        <v>✓</v>
      </c>
      <c r="E119" t="b">
        <v>1</v>
      </c>
    </row>
    <row r="120" spans="1:5" x14ac:dyDescent="0.55000000000000004">
      <c r="A120" t="s">
        <v>1934</v>
      </c>
      <c r="B120" t="s">
        <v>530</v>
      </c>
      <c r="C120" t="s">
        <v>919</v>
      </c>
      <c r="D120" s="8" t="str">
        <f>IF(ISERROR(VLOOKUP(XMLTV[[#This Row],[SITE]]&amp;"-"&amp;XMLTV[[#This Row],[TVGID]],GUIDE[#All],1,0)),"✗","✓")</f>
        <v>✓</v>
      </c>
      <c r="E120" t="b">
        <v>1</v>
      </c>
    </row>
    <row r="121" spans="1:5" x14ac:dyDescent="0.55000000000000004">
      <c r="A121" t="s">
        <v>1934</v>
      </c>
      <c r="B121" t="s">
        <v>933</v>
      </c>
      <c r="C121" t="s">
        <v>934</v>
      </c>
      <c r="D121" s="8" t="str">
        <f>IF(ISERROR(VLOOKUP(XMLTV[[#This Row],[SITE]]&amp;"-"&amp;XMLTV[[#This Row],[TVGID]],GUIDE[#All],1,0)),"✗","✓")</f>
        <v>✓</v>
      </c>
      <c r="E121" t="b">
        <v>1</v>
      </c>
    </row>
    <row r="122" spans="1:5" x14ac:dyDescent="0.55000000000000004">
      <c r="A122" t="s">
        <v>1934</v>
      </c>
      <c r="B122" t="s">
        <v>549</v>
      </c>
      <c r="C122" t="s">
        <v>934</v>
      </c>
      <c r="D122" s="8" t="str">
        <f>IF(ISERROR(VLOOKUP(XMLTV[[#This Row],[SITE]]&amp;"-"&amp;XMLTV[[#This Row],[TVGID]],GUIDE[#All],1,0)),"✗","✓")</f>
        <v>✓</v>
      </c>
      <c r="E122" t="b">
        <v>1</v>
      </c>
    </row>
    <row r="123" spans="1:5" x14ac:dyDescent="0.55000000000000004">
      <c r="A123" t="s">
        <v>1934</v>
      </c>
      <c r="B123" t="s">
        <v>925</v>
      </c>
      <c r="C123" t="s">
        <v>934</v>
      </c>
      <c r="D123" s="8" t="str">
        <f>IF(ISERROR(VLOOKUP(XMLTV[[#This Row],[SITE]]&amp;"-"&amp;XMLTV[[#This Row],[TVGID]],GUIDE[#All],1,0)),"✗","✓")</f>
        <v>✓</v>
      </c>
      <c r="E123" t="b">
        <v>1</v>
      </c>
    </row>
    <row r="124" spans="1:5" x14ac:dyDescent="0.55000000000000004">
      <c r="A124" t="s">
        <v>1934</v>
      </c>
      <c r="B124" t="s">
        <v>614</v>
      </c>
      <c r="C124" t="s">
        <v>934</v>
      </c>
      <c r="D124" s="8" t="str">
        <f>IF(ISERROR(VLOOKUP(XMLTV[[#This Row],[SITE]]&amp;"-"&amp;XMLTV[[#This Row],[TVGID]],GUIDE[#All],1,0)),"✗","✓")</f>
        <v>✓</v>
      </c>
      <c r="E124" t="b">
        <v>1</v>
      </c>
    </row>
    <row r="125" spans="1:5" x14ac:dyDescent="0.55000000000000004">
      <c r="A125" t="s">
        <v>1934</v>
      </c>
      <c r="B125" t="s">
        <v>615</v>
      </c>
      <c r="C125" t="s">
        <v>934</v>
      </c>
      <c r="D125" s="8" t="str">
        <f>IF(ISERROR(VLOOKUP(XMLTV[[#This Row],[SITE]]&amp;"-"&amp;XMLTV[[#This Row],[TVGID]],GUIDE[#All],1,0)),"✗","✓")</f>
        <v>✓</v>
      </c>
      <c r="E125" t="b">
        <v>1</v>
      </c>
    </row>
    <row r="126" spans="1:5" x14ac:dyDescent="0.55000000000000004">
      <c r="A126" t="s">
        <v>1934</v>
      </c>
      <c r="B126" t="s">
        <v>377</v>
      </c>
      <c r="C126" t="s">
        <v>934</v>
      </c>
      <c r="D126" s="8" t="str">
        <f>IF(ISERROR(VLOOKUP(XMLTV[[#This Row],[SITE]]&amp;"-"&amp;XMLTV[[#This Row],[TVGID]],GUIDE[#All],1,0)),"✗","✓")</f>
        <v>✓</v>
      </c>
      <c r="E126" t="b">
        <v>1</v>
      </c>
    </row>
    <row r="127" spans="1:5" x14ac:dyDescent="0.55000000000000004">
      <c r="A127" t="s">
        <v>1934</v>
      </c>
      <c r="B127" s="2" t="s">
        <v>1202</v>
      </c>
      <c r="C127" t="s">
        <v>934</v>
      </c>
      <c r="D127" s="8" t="str">
        <f>IF(ISERROR(VLOOKUP(XMLTV[[#This Row],[SITE]]&amp;"-"&amp;XMLTV[[#This Row],[TVGID]],GUIDE[#All],1,0)),"✗","✓")</f>
        <v>✓</v>
      </c>
      <c r="E127" t="b">
        <v>1</v>
      </c>
    </row>
    <row r="128" spans="1:5" x14ac:dyDescent="0.55000000000000004">
      <c r="A128" t="s">
        <v>1934</v>
      </c>
      <c r="B128" t="s">
        <v>604</v>
      </c>
      <c r="C128" t="s">
        <v>919</v>
      </c>
      <c r="D128" s="8" t="str">
        <f>IF(ISERROR(VLOOKUP(XMLTV[[#This Row],[SITE]]&amp;"-"&amp;XMLTV[[#This Row],[TVGID]],GUIDE[#All],1,0)),"✗","✓")</f>
        <v>✓</v>
      </c>
      <c r="E128" t="b">
        <v>1</v>
      </c>
    </row>
    <row r="129" spans="1:5" x14ac:dyDescent="0.55000000000000004">
      <c r="A129" t="s">
        <v>1934</v>
      </c>
      <c r="B129" t="s">
        <v>572</v>
      </c>
      <c r="C129" t="s">
        <v>934</v>
      </c>
      <c r="D129" s="8" t="str">
        <f>IF(ISERROR(VLOOKUP(XMLTV[[#This Row],[SITE]]&amp;"-"&amp;XMLTV[[#This Row],[TVGID]],GUIDE[#All],1,0)),"✗","✓")</f>
        <v>✓</v>
      </c>
      <c r="E129" t="b">
        <v>1</v>
      </c>
    </row>
    <row r="130" spans="1:5" x14ac:dyDescent="0.55000000000000004">
      <c r="A130" t="s">
        <v>1934</v>
      </c>
      <c r="B130" t="s">
        <v>528</v>
      </c>
      <c r="C130" t="s">
        <v>919</v>
      </c>
      <c r="D130" s="8" t="str">
        <f>IF(ISERROR(VLOOKUP(XMLTV[[#This Row],[SITE]]&amp;"-"&amp;XMLTV[[#This Row],[TVGID]],GUIDE[#All],1,0)),"✗","✓")</f>
        <v>✓</v>
      </c>
      <c r="E130" t="b">
        <v>1</v>
      </c>
    </row>
    <row r="131" spans="1:5" x14ac:dyDescent="0.55000000000000004">
      <c r="A131" t="s">
        <v>1934</v>
      </c>
      <c r="B131" t="s">
        <v>527</v>
      </c>
      <c r="C131" t="s">
        <v>934</v>
      </c>
      <c r="D131" s="8" t="str">
        <f>IF(ISERROR(VLOOKUP(XMLTV[[#This Row],[SITE]]&amp;"-"&amp;XMLTV[[#This Row],[TVGID]],GUIDE[#All],1,0)),"✗","✓")</f>
        <v>✓</v>
      </c>
      <c r="E131" t="b">
        <v>1</v>
      </c>
    </row>
    <row r="132" spans="1:5" x14ac:dyDescent="0.55000000000000004">
      <c r="A132" t="s">
        <v>1934</v>
      </c>
      <c r="B132" t="s">
        <v>582</v>
      </c>
      <c r="C132" t="s">
        <v>919</v>
      </c>
      <c r="D132" s="8" t="str">
        <f>IF(ISERROR(VLOOKUP(XMLTV[[#This Row],[SITE]]&amp;"-"&amp;XMLTV[[#This Row],[TVGID]],GUIDE[#All],1,0)),"✗","✓")</f>
        <v>✓</v>
      </c>
      <c r="E132" t="b">
        <v>1</v>
      </c>
    </row>
    <row r="133" spans="1:5" x14ac:dyDescent="0.55000000000000004">
      <c r="A133" t="s">
        <v>1934</v>
      </c>
      <c r="B133" t="s">
        <v>635</v>
      </c>
      <c r="C133" t="s">
        <v>934</v>
      </c>
      <c r="D133" s="8" t="str">
        <f>IF(ISERROR(VLOOKUP(XMLTV[[#This Row],[SITE]]&amp;"-"&amp;XMLTV[[#This Row],[TVGID]],GUIDE[#All],1,0)),"✗","✓")</f>
        <v>✓</v>
      </c>
      <c r="E133" t="b">
        <v>1</v>
      </c>
    </row>
    <row r="134" spans="1:5" x14ac:dyDescent="0.55000000000000004">
      <c r="A134" t="s">
        <v>1934</v>
      </c>
      <c r="B134" t="s">
        <v>629</v>
      </c>
      <c r="C134" t="s">
        <v>934</v>
      </c>
      <c r="D134" s="8" t="str">
        <f>IF(ISERROR(VLOOKUP(XMLTV[[#This Row],[SITE]]&amp;"-"&amp;XMLTV[[#This Row],[TVGID]],GUIDE[#All],1,0)),"✗","✓")</f>
        <v>✓</v>
      </c>
      <c r="E134" t="b">
        <v>1</v>
      </c>
    </row>
    <row r="135" spans="1:5" x14ac:dyDescent="0.55000000000000004">
      <c r="A135" t="s">
        <v>1934</v>
      </c>
      <c r="B135" t="s">
        <v>636</v>
      </c>
      <c r="C135" t="s">
        <v>934</v>
      </c>
      <c r="D135" s="8" t="str">
        <f>IF(ISERROR(VLOOKUP(XMLTV[[#This Row],[SITE]]&amp;"-"&amp;XMLTV[[#This Row],[TVGID]],GUIDE[#All],1,0)),"✗","✓")</f>
        <v>✓</v>
      </c>
      <c r="E135" t="b">
        <v>1</v>
      </c>
    </row>
    <row r="136" spans="1:5" x14ac:dyDescent="0.55000000000000004">
      <c r="A136" t="s">
        <v>1934</v>
      </c>
      <c r="B136" t="s">
        <v>637</v>
      </c>
      <c r="C136" t="s">
        <v>934</v>
      </c>
      <c r="D136" s="8" t="str">
        <f>IF(ISERROR(VLOOKUP(XMLTV[[#This Row],[SITE]]&amp;"-"&amp;XMLTV[[#This Row],[TVGID]],GUIDE[#All],1,0)),"✗","✓")</f>
        <v>✓</v>
      </c>
      <c r="E136" t="b">
        <v>1</v>
      </c>
    </row>
    <row r="137" spans="1:5" x14ac:dyDescent="0.55000000000000004">
      <c r="A137" t="s">
        <v>1934</v>
      </c>
      <c r="B137" t="s">
        <v>584</v>
      </c>
      <c r="C137" t="s">
        <v>919</v>
      </c>
      <c r="D137" s="8" t="str">
        <f>IF(ISERROR(VLOOKUP(XMLTV[[#This Row],[SITE]]&amp;"-"&amp;XMLTV[[#This Row],[TVGID]],GUIDE[#All],1,0)),"✗","✓")</f>
        <v>✓</v>
      </c>
      <c r="E137" t="b">
        <v>1</v>
      </c>
    </row>
    <row r="138" spans="1:5" x14ac:dyDescent="0.55000000000000004">
      <c r="A138" t="s">
        <v>1934</v>
      </c>
      <c r="B138" t="s">
        <v>606</v>
      </c>
      <c r="C138" t="s">
        <v>919</v>
      </c>
      <c r="D138" s="8" t="str">
        <f>IF(ISERROR(VLOOKUP(XMLTV[[#This Row],[SITE]]&amp;"-"&amp;XMLTV[[#This Row],[TVGID]],GUIDE[#All],1,0)),"✗","✓")</f>
        <v>✓</v>
      </c>
      <c r="E138" t="b">
        <v>1</v>
      </c>
    </row>
    <row r="139" spans="1:5" x14ac:dyDescent="0.55000000000000004">
      <c r="A139" t="s">
        <v>1934</v>
      </c>
      <c r="B139" t="s">
        <v>526</v>
      </c>
      <c r="C139" t="s">
        <v>919</v>
      </c>
      <c r="D139" s="8" t="str">
        <f>IF(ISERROR(VLOOKUP(XMLTV[[#This Row],[SITE]]&amp;"-"&amp;XMLTV[[#This Row],[TVGID]],GUIDE[#All],1,0)),"✗","✓")</f>
        <v>✓</v>
      </c>
      <c r="E139" t="b">
        <v>1</v>
      </c>
    </row>
    <row r="140" spans="1:5" x14ac:dyDescent="0.55000000000000004">
      <c r="A140" t="s">
        <v>1934</v>
      </c>
      <c r="B140" t="s">
        <v>522</v>
      </c>
      <c r="C140" t="s">
        <v>934</v>
      </c>
      <c r="D140" s="8" t="str">
        <f>IF(ISERROR(VLOOKUP(XMLTV[[#This Row],[SITE]]&amp;"-"&amp;XMLTV[[#This Row],[TVGID]],GUIDE[#All],1,0)),"✗","✓")</f>
        <v>✓</v>
      </c>
      <c r="E140" t="b">
        <v>1</v>
      </c>
    </row>
    <row r="141" spans="1:5" x14ac:dyDescent="0.55000000000000004">
      <c r="A141" t="s">
        <v>1934</v>
      </c>
      <c r="B141" t="s">
        <v>638</v>
      </c>
      <c r="C141" t="s">
        <v>934</v>
      </c>
      <c r="D141" s="8" t="str">
        <f>IF(ISERROR(VLOOKUP(XMLTV[[#This Row],[SITE]]&amp;"-"&amp;XMLTV[[#This Row],[TVGID]],GUIDE[#All],1,0)),"✗","✓")</f>
        <v>✓</v>
      </c>
      <c r="E141" t="b">
        <v>1</v>
      </c>
    </row>
    <row r="142" spans="1:5" x14ac:dyDescent="0.55000000000000004">
      <c r="A142" t="s">
        <v>1934</v>
      </c>
      <c r="B142" t="s">
        <v>622</v>
      </c>
      <c r="D142" s="8" t="str">
        <f>IF(ISERROR(VLOOKUP(XMLTV[[#This Row],[SITE]]&amp;"-"&amp;XMLTV[[#This Row],[TVGID]],GUIDE[#All],1,0)),"✗","✓")</f>
        <v>✗</v>
      </c>
      <c r="E142" t="b">
        <v>1</v>
      </c>
    </row>
    <row r="143" spans="1:5" x14ac:dyDescent="0.55000000000000004">
      <c r="A143" t="s">
        <v>1934</v>
      </c>
      <c r="B143" t="s">
        <v>581</v>
      </c>
      <c r="C143" t="s">
        <v>934</v>
      </c>
      <c r="D143" s="8" t="str">
        <f>IF(ISERROR(VLOOKUP(XMLTV[[#This Row],[SITE]]&amp;"-"&amp;XMLTV[[#This Row],[TVGID]],GUIDE[#All],1,0)),"✗","✓")</f>
        <v>✓</v>
      </c>
      <c r="E143" t="b">
        <v>1</v>
      </c>
    </row>
    <row r="144" spans="1:5" x14ac:dyDescent="0.55000000000000004">
      <c r="A144" t="s">
        <v>1934</v>
      </c>
      <c r="B144" t="s">
        <v>623</v>
      </c>
      <c r="C144" t="s">
        <v>929</v>
      </c>
      <c r="D144" s="8" t="str">
        <f>IF(ISERROR(VLOOKUP(XMLTV[[#This Row],[SITE]]&amp;"-"&amp;XMLTV[[#This Row],[TVGID]],GUIDE[#All],1,0)),"✗","✓")</f>
        <v>✓</v>
      </c>
      <c r="E144" t="b">
        <v>1</v>
      </c>
    </row>
    <row r="145" spans="1:5" x14ac:dyDescent="0.55000000000000004">
      <c r="A145" t="s">
        <v>1934</v>
      </c>
      <c r="B145" t="s">
        <v>607</v>
      </c>
      <c r="C145" t="s">
        <v>919</v>
      </c>
      <c r="D145" s="8" t="str">
        <f>IF(ISERROR(VLOOKUP(XMLTV[[#This Row],[SITE]]&amp;"-"&amp;XMLTV[[#This Row],[TVGID]],GUIDE[#All],1,0)),"✗","✓")</f>
        <v>✓</v>
      </c>
      <c r="E145" t="b">
        <v>1</v>
      </c>
    </row>
    <row r="146" spans="1:5" x14ac:dyDescent="0.55000000000000004">
      <c r="A146" t="s">
        <v>1934</v>
      </c>
      <c r="B146" t="s">
        <v>932</v>
      </c>
      <c r="C146" t="s">
        <v>934</v>
      </c>
      <c r="D146" s="8" t="str">
        <f>IF(ISERROR(VLOOKUP(XMLTV[[#This Row],[SITE]]&amp;"-"&amp;XMLTV[[#This Row],[TVGID]],GUIDE[#All],1,0)),"✗","✓")</f>
        <v>✓</v>
      </c>
      <c r="E146" t="b">
        <v>1</v>
      </c>
    </row>
    <row r="147" spans="1:5" x14ac:dyDescent="0.55000000000000004">
      <c r="A147" t="s">
        <v>1935</v>
      </c>
      <c r="B147" t="s">
        <v>590</v>
      </c>
      <c r="C147" t="s">
        <v>919</v>
      </c>
      <c r="D147" s="8" t="str">
        <f>IF(ISERROR(VLOOKUP(XMLTV[[#This Row],[SITE]]&amp;"-"&amp;XMLTV[[#This Row],[TVGID]],GUIDE[#All],1,0)),"✗","✓")</f>
        <v>✓</v>
      </c>
      <c r="E147" t="b">
        <v>1</v>
      </c>
    </row>
    <row r="148" spans="1:5" x14ac:dyDescent="0.55000000000000004">
      <c r="A148" t="s">
        <v>1935</v>
      </c>
      <c r="B148" t="s">
        <v>641</v>
      </c>
      <c r="C148" t="s">
        <v>918</v>
      </c>
      <c r="D148" s="8" t="str">
        <f>IF(ISERROR(VLOOKUP(XMLTV[[#This Row],[SITE]]&amp;"-"&amp;XMLTV[[#This Row],[TVGID]],GUIDE[#All],1,0)),"✗","✓")</f>
        <v>✓</v>
      </c>
      <c r="E148" t="b">
        <v>1</v>
      </c>
    </row>
    <row r="149" spans="1:5" x14ac:dyDescent="0.55000000000000004">
      <c r="A149" t="s">
        <v>1935</v>
      </c>
      <c r="B149" t="s">
        <v>914</v>
      </c>
      <c r="C149" t="s">
        <v>919</v>
      </c>
      <c r="D149" s="8" t="str">
        <f>IF(ISERROR(VLOOKUP(XMLTV[[#This Row],[SITE]]&amp;"-"&amp;XMLTV[[#This Row],[TVGID]],GUIDE[#All],1,0)),"✗","✓")</f>
        <v>✓</v>
      </c>
      <c r="E149" t="b">
        <v>1</v>
      </c>
    </row>
    <row r="150" spans="1:5" x14ac:dyDescent="0.55000000000000004">
      <c r="A150" t="s">
        <v>1935</v>
      </c>
      <c r="B150" t="s">
        <v>553</v>
      </c>
      <c r="C150" t="s">
        <v>922</v>
      </c>
      <c r="D150" s="8" t="str">
        <f>IF(ISERROR(VLOOKUP(XMLTV[[#This Row],[SITE]]&amp;"-"&amp;XMLTV[[#This Row],[TVGID]],GUIDE[#All],1,0)),"✗","✓")</f>
        <v>✓</v>
      </c>
      <c r="E150" t="b">
        <v>1</v>
      </c>
    </row>
    <row r="151" spans="1:5" x14ac:dyDescent="0.55000000000000004">
      <c r="A151" t="s">
        <v>1935</v>
      </c>
      <c r="B151" t="s">
        <v>576</v>
      </c>
      <c r="C151" t="s">
        <v>1936</v>
      </c>
      <c r="D151" s="8" t="str">
        <f>IF(ISERROR(VLOOKUP(XMLTV[[#This Row],[SITE]]&amp;"-"&amp;XMLTV[[#This Row],[TVGID]],GUIDE[#All],1,0)),"✗","✓")</f>
        <v>✓</v>
      </c>
      <c r="E151" t="b">
        <v>1</v>
      </c>
    </row>
    <row r="152" spans="1:5" x14ac:dyDescent="0.55000000000000004">
      <c r="A152" t="s">
        <v>1935</v>
      </c>
      <c r="B152" t="s">
        <v>586</v>
      </c>
      <c r="C152" t="s">
        <v>1936</v>
      </c>
      <c r="D152" s="8" t="str">
        <f>IF(ISERROR(VLOOKUP(XMLTV[[#This Row],[SITE]]&amp;"-"&amp;XMLTV[[#This Row],[TVGID]],GUIDE[#All],1,0)),"✗","✓")</f>
        <v>✓</v>
      </c>
      <c r="E152" t="b">
        <v>1</v>
      </c>
    </row>
    <row r="153" spans="1:5" x14ac:dyDescent="0.55000000000000004">
      <c r="A153" t="s">
        <v>1935</v>
      </c>
      <c r="B153" t="s">
        <v>544</v>
      </c>
      <c r="C153" t="s">
        <v>934</v>
      </c>
      <c r="D153" s="8" t="str">
        <f>IF(ISERROR(VLOOKUP(XMLTV[[#This Row],[SITE]]&amp;"-"&amp;XMLTV[[#This Row],[TVGID]],GUIDE[#All],1,0)),"✗","✓")</f>
        <v>✓</v>
      </c>
      <c r="E153" t="b">
        <v>1</v>
      </c>
    </row>
    <row r="154" spans="1:5" x14ac:dyDescent="0.55000000000000004">
      <c r="A154" t="s">
        <v>1935</v>
      </c>
      <c r="B154" t="s">
        <v>531</v>
      </c>
      <c r="C154" t="s">
        <v>919</v>
      </c>
      <c r="D154" s="8" t="str">
        <f>IF(ISERROR(VLOOKUP(XMLTV[[#This Row],[SITE]]&amp;"-"&amp;XMLTV[[#This Row],[TVGID]],GUIDE[#All],1,0)),"✗","✓")</f>
        <v>✓</v>
      </c>
      <c r="E154" t="b">
        <v>1</v>
      </c>
    </row>
    <row r="155" spans="1:5" x14ac:dyDescent="0.55000000000000004">
      <c r="A155" t="s">
        <v>1935</v>
      </c>
      <c r="B155" t="s">
        <v>591</v>
      </c>
      <c r="C155" t="s">
        <v>919</v>
      </c>
      <c r="D155" s="8" t="str">
        <f>IF(ISERROR(VLOOKUP(XMLTV[[#This Row],[SITE]]&amp;"-"&amp;XMLTV[[#This Row],[TVGID]],GUIDE[#All],1,0)),"✗","✓")</f>
        <v>✓</v>
      </c>
      <c r="E155" t="b">
        <v>1</v>
      </c>
    </row>
    <row r="156" spans="1:5" x14ac:dyDescent="0.55000000000000004">
      <c r="A156" t="s">
        <v>1935</v>
      </c>
      <c r="B156" t="s">
        <v>569</v>
      </c>
      <c r="C156" t="s">
        <v>922</v>
      </c>
      <c r="D156" s="8" t="str">
        <f>IF(ISERROR(VLOOKUP(XMLTV[[#This Row],[SITE]]&amp;"-"&amp;XMLTV[[#This Row],[TVGID]],GUIDE[#All],1,0)),"✗","✓")</f>
        <v>✓</v>
      </c>
      <c r="E156" t="b">
        <v>1</v>
      </c>
    </row>
    <row r="157" spans="1:5" x14ac:dyDescent="0.55000000000000004">
      <c r="A157" t="s">
        <v>1935</v>
      </c>
      <c r="B157" t="s">
        <v>541</v>
      </c>
      <c r="D157" s="8" t="str">
        <f>IF(ISERROR(VLOOKUP(XMLTV[[#This Row],[SITE]]&amp;"-"&amp;XMLTV[[#This Row],[TVGID]],GUIDE[#All],1,0)),"✗","✓")</f>
        <v>✗</v>
      </c>
      <c r="E157" t="b">
        <v>1</v>
      </c>
    </row>
    <row r="158" spans="1:5" x14ac:dyDescent="0.55000000000000004">
      <c r="A158" t="s">
        <v>1935</v>
      </c>
      <c r="B158" t="s">
        <v>372</v>
      </c>
      <c r="C158" t="s">
        <v>919</v>
      </c>
      <c r="D158" s="8" t="str">
        <f>IF(ISERROR(VLOOKUP(XMLTV[[#This Row],[SITE]]&amp;"-"&amp;XMLTV[[#This Row],[TVGID]],GUIDE[#All],1,0)),"✗","✓")</f>
        <v>✓</v>
      </c>
      <c r="E158" t="b">
        <v>1</v>
      </c>
    </row>
    <row r="159" spans="1:5" x14ac:dyDescent="0.55000000000000004">
      <c r="A159" t="s">
        <v>1935</v>
      </c>
      <c r="B159" t="s">
        <v>542</v>
      </c>
      <c r="C159" t="s">
        <v>919</v>
      </c>
      <c r="D159" s="8" t="str">
        <f>IF(ISERROR(VLOOKUP(XMLTV[[#This Row],[SITE]]&amp;"-"&amp;XMLTV[[#This Row],[TVGID]],GUIDE[#All],1,0)),"✗","✓")</f>
        <v>✓</v>
      </c>
      <c r="E159" t="b">
        <v>1</v>
      </c>
    </row>
    <row r="160" spans="1:5" x14ac:dyDescent="0.55000000000000004">
      <c r="A160" t="s">
        <v>1935</v>
      </c>
      <c r="B160" t="s">
        <v>915</v>
      </c>
      <c r="C160" t="s">
        <v>919</v>
      </c>
      <c r="D160" s="8" t="str">
        <f>IF(ISERROR(VLOOKUP(XMLTV[[#This Row],[SITE]]&amp;"-"&amp;XMLTV[[#This Row],[TVGID]],GUIDE[#All],1,0)),"✗","✓")</f>
        <v>✓</v>
      </c>
      <c r="E160" t="b">
        <v>1</v>
      </c>
    </row>
    <row r="161" spans="1:5" x14ac:dyDescent="0.55000000000000004">
      <c r="A161" t="s">
        <v>1935</v>
      </c>
      <c r="B161" t="s">
        <v>537</v>
      </c>
      <c r="C161" t="s">
        <v>918</v>
      </c>
      <c r="D161" s="8" t="str">
        <f>IF(ISERROR(VLOOKUP(XMLTV[[#This Row],[SITE]]&amp;"-"&amp;XMLTV[[#This Row],[TVGID]],GUIDE[#All],1,0)),"✗","✓")</f>
        <v>✓</v>
      </c>
      <c r="E161" t="b">
        <v>1</v>
      </c>
    </row>
    <row r="162" spans="1:5" x14ac:dyDescent="0.55000000000000004">
      <c r="A162" t="s">
        <v>1935</v>
      </c>
      <c r="B162" t="s">
        <v>610</v>
      </c>
      <c r="C162" t="s">
        <v>934</v>
      </c>
      <c r="D162" s="8" t="str">
        <f>IF(ISERROR(VLOOKUP(XMLTV[[#This Row],[SITE]]&amp;"-"&amp;XMLTV[[#This Row],[TVGID]],GUIDE[#All],1,0)),"✗","✓")</f>
        <v>✓</v>
      </c>
      <c r="E162" t="b">
        <v>1</v>
      </c>
    </row>
    <row r="163" spans="1:5" x14ac:dyDescent="0.55000000000000004">
      <c r="A163" t="s">
        <v>1935</v>
      </c>
      <c r="B163" t="s">
        <v>374</v>
      </c>
      <c r="C163" t="s">
        <v>919</v>
      </c>
      <c r="D163" s="8" t="str">
        <f>IF(ISERROR(VLOOKUP(XMLTV[[#This Row],[SITE]]&amp;"-"&amp;XMLTV[[#This Row],[TVGID]],GUIDE[#All],1,0)),"✗","✓")</f>
        <v>✓</v>
      </c>
      <c r="E163" t="b">
        <v>1</v>
      </c>
    </row>
    <row r="164" spans="1:5" x14ac:dyDescent="0.55000000000000004">
      <c r="A164" t="s">
        <v>1935</v>
      </c>
      <c r="B164" t="s">
        <v>535</v>
      </c>
      <c r="C164" t="s">
        <v>919</v>
      </c>
      <c r="D164" s="8" t="str">
        <f>IF(ISERROR(VLOOKUP(XMLTV[[#This Row],[SITE]]&amp;"-"&amp;XMLTV[[#This Row],[TVGID]],GUIDE[#All],1,0)),"✗","✓")</f>
        <v>✓</v>
      </c>
      <c r="E164" t="b">
        <v>1</v>
      </c>
    </row>
    <row r="165" spans="1:5" x14ac:dyDescent="0.55000000000000004">
      <c r="A165" t="s">
        <v>1935</v>
      </c>
      <c r="B165" t="s">
        <v>2287</v>
      </c>
      <c r="C165" t="s">
        <v>934</v>
      </c>
      <c r="D165" s="8" t="str">
        <f>IF(ISERROR(VLOOKUP(XMLTV[[#This Row],[SITE]]&amp;"-"&amp;XMLTV[[#This Row],[TVGID]],GUIDE[#All],1,0)),"✗","✓")</f>
        <v>✓</v>
      </c>
      <c r="E165" t="b">
        <v>1</v>
      </c>
    </row>
    <row r="166" spans="1:5" x14ac:dyDescent="0.55000000000000004">
      <c r="A166" t="s">
        <v>1935</v>
      </c>
      <c r="B166" t="s">
        <v>563</v>
      </c>
      <c r="C166" t="s">
        <v>922</v>
      </c>
      <c r="D166" s="8" t="str">
        <f>IF(ISERROR(VLOOKUP(XMLTV[[#This Row],[SITE]]&amp;"-"&amp;XMLTV[[#This Row],[TVGID]],GUIDE[#All],1,0)),"✗","✓")</f>
        <v>✓</v>
      </c>
      <c r="E166" t="b">
        <v>1</v>
      </c>
    </row>
    <row r="167" spans="1:5" x14ac:dyDescent="0.55000000000000004">
      <c r="A167" t="s">
        <v>1935</v>
      </c>
      <c r="B167" t="s">
        <v>657</v>
      </c>
      <c r="C167" t="s">
        <v>919</v>
      </c>
      <c r="D167" s="8" t="str">
        <f>IF(ISERROR(VLOOKUP(XMLTV[[#This Row],[SITE]]&amp;"-"&amp;XMLTV[[#This Row],[TVGID]],GUIDE[#All],1,0)),"✗","✓")</f>
        <v>✓</v>
      </c>
      <c r="E167" t="b">
        <v>1</v>
      </c>
    </row>
    <row r="168" spans="1:5" x14ac:dyDescent="0.55000000000000004">
      <c r="A168" t="s">
        <v>1935</v>
      </c>
      <c r="B168" t="s">
        <v>592</v>
      </c>
      <c r="C168" t="s">
        <v>922</v>
      </c>
      <c r="D168" s="8" t="str">
        <f>IF(ISERROR(VLOOKUP(XMLTV[[#This Row],[SITE]]&amp;"-"&amp;XMLTV[[#This Row],[TVGID]],GUIDE[#All],1,0)),"✗","✓")</f>
        <v>✓</v>
      </c>
      <c r="E168" t="b">
        <v>1</v>
      </c>
    </row>
    <row r="169" spans="1:5" x14ac:dyDescent="0.55000000000000004">
      <c r="A169" t="s">
        <v>1935</v>
      </c>
      <c r="B169" t="s">
        <v>605</v>
      </c>
      <c r="C169" t="s">
        <v>919</v>
      </c>
      <c r="D169" s="8" t="str">
        <f>IF(ISERROR(VLOOKUP(XMLTV[[#This Row],[SITE]]&amp;"-"&amp;XMLTV[[#This Row],[TVGID]],GUIDE[#All],1,0)),"✗","✓")</f>
        <v>✓</v>
      </c>
      <c r="E169" t="b">
        <v>1</v>
      </c>
    </row>
    <row r="170" spans="1:5" x14ac:dyDescent="0.55000000000000004">
      <c r="A170" t="s">
        <v>1935</v>
      </c>
      <c r="B170" t="s">
        <v>555</v>
      </c>
      <c r="C170" t="s">
        <v>919</v>
      </c>
      <c r="D170" s="8" t="str">
        <f>IF(ISERROR(VLOOKUP(XMLTV[[#This Row],[SITE]]&amp;"-"&amp;XMLTV[[#This Row],[TVGID]],GUIDE[#All],1,0)),"✗","✓")</f>
        <v>✓</v>
      </c>
      <c r="E170" t="b">
        <v>1</v>
      </c>
    </row>
    <row r="171" spans="1:5" x14ac:dyDescent="0.55000000000000004">
      <c r="A171" t="s">
        <v>1935</v>
      </c>
      <c r="B171" t="s">
        <v>926</v>
      </c>
      <c r="C171" t="s">
        <v>918</v>
      </c>
      <c r="D171" s="8" t="str">
        <f>IF(ISERROR(VLOOKUP(XMLTV[[#This Row],[SITE]]&amp;"-"&amp;XMLTV[[#This Row],[TVGID]],GUIDE[#All],1,0)),"✗","✓")</f>
        <v>✓</v>
      </c>
      <c r="E171" t="b">
        <v>1</v>
      </c>
    </row>
    <row r="172" spans="1:5" x14ac:dyDescent="0.55000000000000004">
      <c r="A172" t="s">
        <v>1935</v>
      </c>
      <c r="B172" t="s">
        <v>927</v>
      </c>
      <c r="C172" t="s">
        <v>918</v>
      </c>
      <c r="D172" s="8" t="str">
        <f>IF(ISERROR(VLOOKUP(XMLTV[[#This Row],[SITE]]&amp;"-"&amp;XMLTV[[#This Row],[TVGID]],GUIDE[#All],1,0)),"✗","✓")</f>
        <v>✓</v>
      </c>
      <c r="E172" t="b">
        <v>1</v>
      </c>
    </row>
    <row r="173" spans="1:5" x14ac:dyDescent="0.55000000000000004">
      <c r="A173" t="s">
        <v>1935</v>
      </c>
      <c r="B173" t="s">
        <v>551</v>
      </c>
      <c r="C173" t="s">
        <v>913</v>
      </c>
      <c r="D173" s="8" t="str">
        <f>IF(ISERROR(VLOOKUP(XMLTV[[#This Row],[SITE]]&amp;"-"&amp;XMLTV[[#This Row],[TVGID]],GUIDE[#All],1,0)),"✗","✓")</f>
        <v>✓</v>
      </c>
      <c r="E173" t="b">
        <v>1</v>
      </c>
    </row>
    <row r="174" spans="1:5" x14ac:dyDescent="0.55000000000000004">
      <c r="A174" t="s">
        <v>1935</v>
      </c>
      <c r="B174" t="s">
        <v>597</v>
      </c>
      <c r="C174" t="s">
        <v>934</v>
      </c>
      <c r="D174" s="8" t="str">
        <f>IF(ISERROR(VLOOKUP(XMLTV[[#This Row],[SITE]]&amp;"-"&amp;XMLTV[[#This Row],[TVGID]],GUIDE[#All],1,0)),"✗","✓")</f>
        <v>✓</v>
      </c>
      <c r="E174" t="b">
        <v>1</v>
      </c>
    </row>
    <row r="175" spans="1:5" x14ac:dyDescent="0.55000000000000004">
      <c r="A175" t="s">
        <v>1935</v>
      </c>
      <c r="B175" t="s">
        <v>608</v>
      </c>
      <c r="C175" t="s">
        <v>917</v>
      </c>
      <c r="D175" s="8" t="str">
        <f>IF(ISERROR(VLOOKUP(XMLTV[[#This Row],[SITE]]&amp;"-"&amp;XMLTV[[#This Row],[TVGID]],GUIDE[#All],1,0)),"✗","✓")</f>
        <v>✓</v>
      </c>
      <c r="E175" t="b">
        <v>1</v>
      </c>
    </row>
    <row r="176" spans="1:5" x14ac:dyDescent="0.55000000000000004">
      <c r="A176" t="s">
        <v>1935</v>
      </c>
      <c r="B176" t="s">
        <v>600</v>
      </c>
      <c r="C176" t="s">
        <v>917</v>
      </c>
      <c r="D176" s="8" t="str">
        <f>IF(ISERROR(VLOOKUP(XMLTV[[#This Row],[SITE]]&amp;"-"&amp;XMLTV[[#This Row],[TVGID]],GUIDE[#All],1,0)),"✗","✓")</f>
        <v>✓</v>
      </c>
      <c r="E176" t="b">
        <v>1</v>
      </c>
    </row>
    <row r="177" spans="1:5" x14ac:dyDescent="0.55000000000000004">
      <c r="A177" t="s">
        <v>1935</v>
      </c>
      <c r="B177" t="s">
        <v>594</v>
      </c>
      <c r="D177" s="8" t="str">
        <f>IF(ISERROR(VLOOKUP(XMLTV[[#This Row],[SITE]]&amp;"-"&amp;XMLTV[[#This Row],[TVGID]],GUIDE[#All],1,0)),"✗","✓")</f>
        <v>✗</v>
      </c>
      <c r="E177" t="b">
        <v>1</v>
      </c>
    </row>
    <row r="178" spans="1:5" x14ac:dyDescent="0.55000000000000004">
      <c r="A178" t="s">
        <v>1935</v>
      </c>
      <c r="B178" t="s">
        <v>593</v>
      </c>
      <c r="C178" t="s">
        <v>918</v>
      </c>
      <c r="D178" s="8" t="str">
        <f>IF(ISERROR(VLOOKUP(XMLTV[[#This Row],[SITE]]&amp;"-"&amp;XMLTV[[#This Row],[TVGID]],GUIDE[#All],1,0)),"✗","✓")</f>
        <v>✓</v>
      </c>
      <c r="E178" t="b">
        <v>1</v>
      </c>
    </row>
    <row r="179" spans="1:5" x14ac:dyDescent="0.55000000000000004">
      <c r="A179" t="s">
        <v>1935</v>
      </c>
      <c r="B179" t="s">
        <v>627</v>
      </c>
      <c r="C179" t="s">
        <v>919</v>
      </c>
      <c r="D179" s="8" t="str">
        <f>IF(ISERROR(VLOOKUP(XMLTV[[#This Row],[SITE]]&amp;"-"&amp;XMLTV[[#This Row],[TVGID]],GUIDE[#All],1,0)),"✗","✓")</f>
        <v>✓</v>
      </c>
      <c r="E179" t="b">
        <v>1</v>
      </c>
    </row>
    <row r="180" spans="1:5" x14ac:dyDescent="0.55000000000000004">
      <c r="A180" t="s">
        <v>1935</v>
      </c>
      <c r="B180" t="s">
        <v>626</v>
      </c>
      <c r="C180" t="s">
        <v>919</v>
      </c>
      <c r="D180" s="8" t="str">
        <f>IF(ISERROR(VLOOKUP(XMLTV[[#This Row],[SITE]]&amp;"-"&amp;XMLTV[[#This Row],[TVGID]],GUIDE[#All],1,0)),"✗","✓")</f>
        <v>✓</v>
      </c>
      <c r="E180" t="b">
        <v>1</v>
      </c>
    </row>
    <row r="181" spans="1:5" x14ac:dyDescent="0.55000000000000004">
      <c r="A181" t="s">
        <v>1935</v>
      </c>
      <c r="B181" t="s">
        <v>550</v>
      </c>
      <c r="C181" t="s">
        <v>934</v>
      </c>
      <c r="D181" s="8" t="str">
        <f>IF(ISERROR(VLOOKUP(XMLTV[[#This Row],[SITE]]&amp;"-"&amp;XMLTV[[#This Row],[TVGID]],GUIDE[#All],1,0)),"✗","✓")</f>
        <v>✓</v>
      </c>
      <c r="E181" t="b">
        <v>1</v>
      </c>
    </row>
    <row r="182" spans="1:5" x14ac:dyDescent="0.55000000000000004">
      <c r="A182" t="s">
        <v>1935</v>
      </c>
      <c r="B182" t="s">
        <v>525</v>
      </c>
      <c r="C182" t="s">
        <v>934</v>
      </c>
      <c r="D182" s="8" t="str">
        <f>IF(ISERROR(VLOOKUP(XMLTV[[#This Row],[SITE]]&amp;"-"&amp;XMLTV[[#This Row],[TVGID]],GUIDE[#All],1,0)),"✗","✓")</f>
        <v>✓</v>
      </c>
      <c r="E182" t="b">
        <v>1</v>
      </c>
    </row>
    <row r="183" spans="1:5" x14ac:dyDescent="0.55000000000000004">
      <c r="A183" t="s">
        <v>1935</v>
      </c>
      <c r="B183" t="s">
        <v>373</v>
      </c>
      <c r="C183" t="s">
        <v>922</v>
      </c>
      <c r="D183" s="8" t="str">
        <f>IF(ISERROR(VLOOKUP(XMLTV[[#This Row],[SITE]]&amp;"-"&amp;XMLTV[[#This Row],[TVGID]],GUIDE[#All],1,0)),"✗","✓")</f>
        <v>✓</v>
      </c>
      <c r="E183" t="b">
        <v>1</v>
      </c>
    </row>
    <row r="184" spans="1:5" x14ac:dyDescent="0.55000000000000004">
      <c r="A184" t="s">
        <v>1935</v>
      </c>
      <c r="B184" t="s">
        <v>554</v>
      </c>
      <c r="C184" t="s">
        <v>919</v>
      </c>
      <c r="D184" s="8" t="str">
        <f>IF(ISERROR(VLOOKUP(XMLTV[[#This Row],[SITE]]&amp;"-"&amp;XMLTV[[#This Row],[TVGID]],GUIDE[#All],1,0)),"✗","✓")</f>
        <v>✓</v>
      </c>
      <c r="E184" t="b">
        <v>1</v>
      </c>
    </row>
    <row r="185" spans="1:5" x14ac:dyDescent="0.55000000000000004">
      <c r="A185" t="s">
        <v>1935</v>
      </c>
      <c r="B185" t="s">
        <v>552</v>
      </c>
      <c r="C185" t="s">
        <v>934</v>
      </c>
      <c r="D185" s="8" t="str">
        <f>IF(ISERROR(VLOOKUP(XMLTV[[#This Row],[SITE]]&amp;"-"&amp;XMLTV[[#This Row],[TVGID]],GUIDE[#All],1,0)),"✗","✓")</f>
        <v>✓</v>
      </c>
      <c r="E185" t="b">
        <v>1</v>
      </c>
    </row>
    <row r="186" spans="1:5" x14ac:dyDescent="0.55000000000000004">
      <c r="A186" t="s">
        <v>1935</v>
      </c>
      <c r="B186" t="s">
        <v>540</v>
      </c>
      <c r="C186" t="s">
        <v>919</v>
      </c>
      <c r="D186" s="8" t="str">
        <f>IF(ISERROR(VLOOKUP(XMLTV[[#This Row],[SITE]]&amp;"-"&amp;XMLTV[[#This Row],[TVGID]],GUIDE[#All],1,0)),"✗","✓")</f>
        <v>✓</v>
      </c>
      <c r="E186" t="b">
        <v>1</v>
      </c>
    </row>
    <row r="187" spans="1:5" x14ac:dyDescent="0.55000000000000004">
      <c r="A187" t="s">
        <v>1935</v>
      </c>
      <c r="B187" t="s">
        <v>560</v>
      </c>
      <c r="C187" t="s">
        <v>922</v>
      </c>
      <c r="D187" s="8" t="str">
        <f>IF(ISERROR(VLOOKUP(XMLTV[[#This Row],[SITE]]&amp;"-"&amp;XMLTV[[#This Row],[TVGID]],GUIDE[#All],1,0)),"✗","✓")</f>
        <v>✓</v>
      </c>
      <c r="E187" t="b">
        <v>1</v>
      </c>
    </row>
    <row r="188" spans="1:5" x14ac:dyDescent="0.55000000000000004">
      <c r="A188" t="s">
        <v>1935</v>
      </c>
      <c r="B188" t="s">
        <v>558</v>
      </c>
      <c r="C188" t="s">
        <v>922</v>
      </c>
      <c r="D188" s="8" t="str">
        <f>IF(ISERROR(VLOOKUP(XMLTV[[#This Row],[SITE]]&amp;"-"&amp;XMLTV[[#This Row],[TVGID]],GUIDE[#All],1,0)),"✗","✓")</f>
        <v>✓</v>
      </c>
      <c r="E188" t="b">
        <v>1</v>
      </c>
    </row>
    <row r="189" spans="1:5" x14ac:dyDescent="0.55000000000000004">
      <c r="A189" t="s">
        <v>1935</v>
      </c>
      <c r="B189" t="s">
        <v>921</v>
      </c>
      <c r="C189" t="s">
        <v>922</v>
      </c>
      <c r="D189" s="8" t="str">
        <f>IF(ISERROR(VLOOKUP(XMLTV[[#This Row],[SITE]]&amp;"-"&amp;XMLTV[[#This Row],[TVGID]],GUIDE[#All],1,0)),"✗","✓")</f>
        <v>✓</v>
      </c>
      <c r="E189" t="b">
        <v>1</v>
      </c>
    </row>
    <row r="190" spans="1:5" x14ac:dyDescent="0.55000000000000004">
      <c r="A190" t="s">
        <v>1935</v>
      </c>
      <c r="B190" t="s">
        <v>923</v>
      </c>
      <c r="C190" t="s">
        <v>919</v>
      </c>
      <c r="D190" s="8" t="str">
        <f>IF(ISERROR(VLOOKUP(XMLTV[[#This Row],[SITE]]&amp;"-"&amp;XMLTV[[#This Row],[TVGID]],GUIDE[#All],1,0)),"✗","✓")</f>
        <v>✓</v>
      </c>
      <c r="E190" t="b">
        <v>1</v>
      </c>
    </row>
    <row r="191" spans="1:5" x14ac:dyDescent="0.55000000000000004">
      <c r="A191" t="s">
        <v>1935</v>
      </c>
      <c r="B191" t="s">
        <v>564</v>
      </c>
      <c r="C191" t="s">
        <v>919</v>
      </c>
      <c r="D191" s="8" t="str">
        <f>IF(ISERROR(VLOOKUP(XMLTV[[#This Row],[SITE]]&amp;"-"&amp;XMLTV[[#This Row],[TVGID]],GUIDE[#All],1,0)),"✗","✓")</f>
        <v>✓</v>
      </c>
      <c r="E191" t="b">
        <v>1</v>
      </c>
    </row>
    <row r="192" spans="1:5" x14ac:dyDescent="0.55000000000000004">
      <c r="A192" t="s">
        <v>1935</v>
      </c>
      <c r="B192" t="s">
        <v>565</v>
      </c>
      <c r="C192" t="s">
        <v>934</v>
      </c>
      <c r="D192" s="8" t="str">
        <f>IF(ISERROR(VLOOKUP(XMLTV[[#This Row],[SITE]]&amp;"-"&amp;XMLTV[[#This Row],[TVGID]],GUIDE[#All],1,0)),"✗","✓")</f>
        <v>✓</v>
      </c>
      <c r="E192" t="b">
        <v>1</v>
      </c>
    </row>
    <row r="193" spans="1:5" x14ac:dyDescent="0.55000000000000004">
      <c r="A193" t="s">
        <v>1935</v>
      </c>
      <c r="B193" t="s">
        <v>589</v>
      </c>
      <c r="C193" t="s">
        <v>934</v>
      </c>
      <c r="D193" s="8" t="str">
        <f>IF(ISERROR(VLOOKUP(XMLTV[[#This Row],[SITE]]&amp;"-"&amp;XMLTV[[#This Row],[TVGID]],GUIDE[#All],1,0)),"✗","✓")</f>
        <v>✓</v>
      </c>
      <c r="E193" t="b">
        <v>1</v>
      </c>
    </row>
    <row r="194" spans="1:5" x14ac:dyDescent="0.55000000000000004">
      <c r="A194" t="s">
        <v>1935</v>
      </c>
      <c r="B194" t="s">
        <v>376</v>
      </c>
      <c r="C194" t="s">
        <v>919</v>
      </c>
      <c r="D194" s="8" t="str">
        <f>IF(ISERROR(VLOOKUP(XMLTV[[#This Row],[SITE]]&amp;"-"&amp;XMLTV[[#This Row],[TVGID]],GUIDE[#All],1,0)),"✗","✓")</f>
        <v>✓</v>
      </c>
      <c r="E194" t="b">
        <v>1</v>
      </c>
    </row>
    <row r="195" spans="1:5" x14ac:dyDescent="0.55000000000000004">
      <c r="A195" t="s">
        <v>1935</v>
      </c>
      <c r="B195" t="s">
        <v>625</v>
      </c>
      <c r="C195" t="s">
        <v>919</v>
      </c>
      <c r="D195" s="8" t="str">
        <f>IF(ISERROR(VLOOKUP(XMLTV[[#This Row],[SITE]]&amp;"-"&amp;XMLTV[[#This Row],[TVGID]],GUIDE[#All],1,0)),"✗","✓")</f>
        <v>✓</v>
      </c>
      <c r="E195" t="b">
        <v>1</v>
      </c>
    </row>
    <row r="196" spans="1:5" x14ac:dyDescent="0.55000000000000004">
      <c r="A196" t="s">
        <v>1935</v>
      </c>
      <c r="B196" t="s">
        <v>571</v>
      </c>
      <c r="C196" t="s">
        <v>934</v>
      </c>
      <c r="D196" s="8" t="str">
        <f>IF(ISERROR(VLOOKUP(XMLTV[[#This Row],[SITE]]&amp;"-"&amp;XMLTV[[#This Row],[TVGID]],GUIDE[#All],1,0)),"✗","✓")</f>
        <v>✓</v>
      </c>
      <c r="E196" t="b">
        <v>1</v>
      </c>
    </row>
    <row r="197" spans="1:5" x14ac:dyDescent="0.55000000000000004">
      <c r="A197" t="s">
        <v>1935</v>
      </c>
      <c r="B197" t="s">
        <v>616</v>
      </c>
      <c r="C197" t="s">
        <v>919</v>
      </c>
      <c r="D197" s="8" t="str">
        <f>IF(ISERROR(VLOOKUP(XMLTV[[#This Row],[SITE]]&amp;"-"&amp;XMLTV[[#This Row],[TVGID]],GUIDE[#All],1,0)),"✗","✓")</f>
        <v>✓</v>
      </c>
      <c r="E197" t="b">
        <v>1</v>
      </c>
    </row>
    <row r="198" spans="1:5" x14ac:dyDescent="0.55000000000000004">
      <c r="A198" t="s">
        <v>1935</v>
      </c>
      <c r="B198" t="s">
        <v>611</v>
      </c>
      <c r="D198" s="8" t="str">
        <f>IF(ISERROR(VLOOKUP(XMLTV[[#This Row],[SITE]]&amp;"-"&amp;XMLTV[[#This Row],[TVGID]],GUIDE[#All],1,0)),"✗","✓")</f>
        <v>✗</v>
      </c>
      <c r="E198" t="b">
        <v>1</v>
      </c>
    </row>
    <row r="199" spans="1:5" x14ac:dyDescent="0.55000000000000004">
      <c r="A199" t="s">
        <v>1935</v>
      </c>
      <c r="B199" t="s">
        <v>375</v>
      </c>
      <c r="C199" t="s">
        <v>919</v>
      </c>
      <c r="D199" s="8" t="str">
        <f>IF(ISERROR(VLOOKUP(XMLTV[[#This Row],[SITE]]&amp;"-"&amp;XMLTV[[#This Row],[TVGID]],GUIDE[#All],1,0)),"✗","✓")</f>
        <v>✓</v>
      </c>
      <c r="E199" t="b">
        <v>1</v>
      </c>
    </row>
    <row r="200" spans="1:5" x14ac:dyDescent="0.55000000000000004">
      <c r="A200" t="s">
        <v>1935</v>
      </c>
      <c r="B200" t="s">
        <v>609</v>
      </c>
      <c r="C200" t="s">
        <v>919</v>
      </c>
      <c r="D200" s="8" t="str">
        <f>IF(ISERROR(VLOOKUP(XMLTV[[#This Row],[SITE]]&amp;"-"&amp;XMLTV[[#This Row],[TVGID]],GUIDE[#All],1,0)),"✗","✓")</f>
        <v>✓</v>
      </c>
      <c r="E200" t="b">
        <v>1</v>
      </c>
    </row>
    <row r="201" spans="1:5" x14ac:dyDescent="0.55000000000000004">
      <c r="A201" t="s">
        <v>1935</v>
      </c>
      <c r="B201" t="s">
        <v>613</v>
      </c>
      <c r="C201" t="s">
        <v>919</v>
      </c>
      <c r="D201" s="8" t="str">
        <f>IF(ISERROR(VLOOKUP(XMLTV[[#This Row],[SITE]]&amp;"-"&amp;XMLTV[[#This Row],[TVGID]],GUIDE[#All],1,0)),"✗","✓")</f>
        <v>✓</v>
      </c>
      <c r="E201" t="b">
        <v>1</v>
      </c>
    </row>
    <row r="202" spans="1:5" x14ac:dyDescent="0.55000000000000004">
      <c r="A202" t="s">
        <v>1935</v>
      </c>
      <c r="B202" t="s">
        <v>533</v>
      </c>
      <c r="C202" t="s">
        <v>917</v>
      </c>
      <c r="D202" s="8" t="str">
        <f>IF(ISERROR(VLOOKUP(XMLTV[[#This Row],[SITE]]&amp;"-"&amp;XMLTV[[#This Row],[TVGID]],GUIDE[#All],1,0)),"✗","✓")</f>
        <v>✓</v>
      </c>
      <c r="E202" t="b">
        <v>1</v>
      </c>
    </row>
    <row r="203" spans="1:5" x14ac:dyDescent="0.55000000000000004">
      <c r="A203" t="s">
        <v>1935</v>
      </c>
      <c r="B203" t="s">
        <v>640</v>
      </c>
      <c r="C203" t="s">
        <v>919</v>
      </c>
      <c r="D203" s="8" t="str">
        <f>IF(ISERROR(VLOOKUP(XMLTV[[#This Row],[SITE]]&amp;"-"&amp;XMLTV[[#This Row],[TVGID]],GUIDE[#All],1,0)),"✗","✓")</f>
        <v>✓</v>
      </c>
      <c r="E203" t="b">
        <v>1</v>
      </c>
    </row>
    <row r="204" spans="1:5" x14ac:dyDescent="0.55000000000000004">
      <c r="A204" t="s">
        <v>1935</v>
      </c>
      <c r="B204" t="s">
        <v>598</v>
      </c>
      <c r="C204" t="s">
        <v>917</v>
      </c>
      <c r="D204" s="8" t="str">
        <f>IF(ISERROR(VLOOKUP(XMLTV[[#This Row],[SITE]]&amp;"-"&amp;XMLTV[[#This Row],[TVGID]],GUIDE[#All],1,0)),"✗","✓")</f>
        <v>✓</v>
      </c>
      <c r="E204" t="b">
        <v>1</v>
      </c>
    </row>
    <row r="205" spans="1:5" x14ac:dyDescent="0.55000000000000004">
      <c r="A205" t="s">
        <v>1935</v>
      </c>
      <c r="B205" t="s">
        <v>602</v>
      </c>
      <c r="C205" t="s">
        <v>917</v>
      </c>
      <c r="D205" s="8" t="str">
        <f>IF(ISERROR(VLOOKUP(XMLTV[[#This Row],[SITE]]&amp;"-"&amp;XMLTV[[#This Row],[TVGID]],GUIDE[#All],1,0)),"✗","✓")</f>
        <v>✓</v>
      </c>
      <c r="E205" t="b">
        <v>1</v>
      </c>
    </row>
    <row r="206" spans="1:5" x14ac:dyDescent="0.55000000000000004">
      <c r="A206" t="s">
        <v>1935</v>
      </c>
      <c r="B206" t="s">
        <v>601</v>
      </c>
      <c r="C206" t="s">
        <v>917</v>
      </c>
      <c r="D206" s="8" t="str">
        <f>IF(ISERROR(VLOOKUP(XMLTV[[#This Row],[SITE]]&amp;"-"&amp;XMLTV[[#This Row],[TVGID]],GUIDE[#All],1,0)),"✗","✓")</f>
        <v>✓</v>
      </c>
      <c r="E206" t="b">
        <v>1</v>
      </c>
    </row>
    <row r="207" spans="1:5" x14ac:dyDescent="0.55000000000000004">
      <c r="A207" t="s">
        <v>1935</v>
      </c>
      <c r="B207" t="s">
        <v>599</v>
      </c>
      <c r="C207" t="s">
        <v>917</v>
      </c>
      <c r="D207" s="8" t="str">
        <f>IF(ISERROR(VLOOKUP(XMLTV[[#This Row],[SITE]]&amp;"-"&amp;XMLTV[[#This Row],[TVGID]],GUIDE[#All],1,0)),"✗","✓")</f>
        <v>✓</v>
      </c>
      <c r="E207" t="b">
        <v>1</v>
      </c>
    </row>
    <row r="208" spans="1:5" x14ac:dyDescent="0.55000000000000004">
      <c r="A208" t="s">
        <v>1935</v>
      </c>
      <c r="B208" t="s">
        <v>575</v>
      </c>
      <c r="C208" t="s">
        <v>1936</v>
      </c>
      <c r="D208" s="8" t="str">
        <f>IF(ISERROR(VLOOKUP(XMLTV[[#This Row],[SITE]]&amp;"-"&amp;XMLTV[[#This Row],[TVGID]],GUIDE[#All],1,0)),"✗","✓")</f>
        <v>✓</v>
      </c>
      <c r="E208" t="b">
        <v>1</v>
      </c>
    </row>
    <row r="209" spans="1:5" x14ac:dyDescent="0.55000000000000004">
      <c r="A209" t="s">
        <v>1935</v>
      </c>
      <c r="B209" t="s">
        <v>556</v>
      </c>
      <c r="C209" t="s">
        <v>919</v>
      </c>
      <c r="D209" s="8" t="str">
        <f>IF(ISERROR(VLOOKUP(XMLTV[[#This Row],[SITE]]&amp;"-"&amp;XMLTV[[#This Row],[TVGID]],GUIDE[#All],1,0)),"✗","✓")</f>
        <v>✓</v>
      </c>
      <c r="E209" t="b">
        <v>1</v>
      </c>
    </row>
    <row r="210" spans="1:5" x14ac:dyDescent="0.55000000000000004">
      <c r="A210" t="s">
        <v>1935</v>
      </c>
      <c r="B210" t="s">
        <v>580</v>
      </c>
      <c r="C210" t="s">
        <v>919</v>
      </c>
      <c r="D210" s="8" t="str">
        <f>IF(ISERROR(VLOOKUP(XMLTV[[#This Row],[SITE]]&amp;"-"&amp;XMLTV[[#This Row],[TVGID]],GUIDE[#All],1,0)),"✗","✓")</f>
        <v>✓</v>
      </c>
      <c r="E210" t="b">
        <v>1</v>
      </c>
    </row>
    <row r="211" spans="1:5" x14ac:dyDescent="0.55000000000000004">
      <c r="A211" t="s">
        <v>1935</v>
      </c>
      <c r="B211" t="s">
        <v>603</v>
      </c>
      <c r="C211" t="s">
        <v>919</v>
      </c>
      <c r="D211" s="8" t="str">
        <f>IF(ISERROR(VLOOKUP(XMLTV[[#This Row],[SITE]]&amp;"-"&amp;XMLTV[[#This Row],[TVGID]],GUIDE[#All],1,0)),"✗","✓")</f>
        <v>✓</v>
      </c>
      <c r="E211" t="b">
        <v>1</v>
      </c>
    </row>
    <row r="212" spans="1:5" x14ac:dyDescent="0.55000000000000004">
      <c r="A212" t="s">
        <v>1935</v>
      </c>
      <c r="B212" t="s">
        <v>642</v>
      </c>
      <c r="C212" t="s">
        <v>919</v>
      </c>
      <c r="D212" s="8" t="str">
        <f>IF(ISERROR(VLOOKUP(XMLTV[[#This Row],[SITE]]&amp;"-"&amp;XMLTV[[#This Row],[TVGID]],GUIDE[#All],1,0)),"✗","✓")</f>
        <v>✓</v>
      </c>
      <c r="E212" t="b">
        <v>1</v>
      </c>
    </row>
    <row r="213" spans="1:5" x14ac:dyDescent="0.55000000000000004">
      <c r="A213" t="s">
        <v>1935</v>
      </c>
      <c r="B213" t="s">
        <v>567</v>
      </c>
      <c r="C213" t="s">
        <v>918</v>
      </c>
      <c r="D213" s="8" t="str">
        <f>IF(ISERROR(VLOOKUP(XMLTV[[#This Row],[SITE]]&amp;"-"&amp;XMLTV[[#This Row],[TVGID]],GUIDE[#All],1,0)),"✗","✓")</f>
        <v>✓</v>
      </c>
      <c r="E213" t="b">
        <v>1</v>
      </c>
    </row>
    <row r="214" spans="1:5" x14ac:dyDescent="0.55000000000000004">
      <c r="A214" t="s">
        <v>1935</v>
      </c>
      <c r="B214" t="s">
        <v>624</v>
      </c>
      <c r="D214" s="8" t="str">
        <f>IF(ISERROR(VLOOKUP(XMLTV[[#This Row],[SITE]]&amp;"-"&amp;XMLTV[[#This Row],[TVGID]],GUIDE[#All],1,0)),"✗","✓")</f>
        <v>✗</v>
      </c>
      <c r="E214" t="b">
        <v>1</v>
      </c>
    </row>
    <row r="215" spans="1:5" x14ac:dyDescent="0.55000000000000004">
      <c r="A215" t="s">
        <v>1935</v>
      </c>
      <c r="B215" t="s">
        <v>539</v>
      </c>
      <c r="C215" t="s">
        <v>919</v>
      </c>
      <c r="D215" s="8" t="str">
        <f>IF(ISERROR(VLOOKUP(XMLTV[[#This Row],[SITE]]&amp;"-"&amp;XMLTV[[#This Row],[TVGID]],GUIDE[#All],1,0)),"✗","✓")</f>
        <v>✓</v>
      </c>
      <c r="E215" t="b">
        <v>1</v>
      </c>
    </row>
    <row r="216" spans="1:5" x14ac:dyDescent="0.55000000000000004">
      <c r="A216" t="s">
        <v>1935</v>
      </c>
      <c r="B216" t="s">
        <v>612</v>
      </c>
      <c r="C216" t="s">
        <v>919</v>
      </c>
      <c r="D216" s="8" t="str">
        <f>IF(ISERROR(VLOOKUP(XMLTV[[#This Row],[SITE]]&amp;"-"&amp;XMLTV[[#This Row],[TVGID]],GUIDE[#All],1,0)),"✗","✓")</f>
        <v>✓</v>
      </c>
      <c r="E216" t="b">
        <v>1</v>
      </c>
    </row>
    <row r="217" spans="1:5" x14ac:dyDescent="0.55000000000000004">
      <c r="A217" t="s">
        <v>1935</v>
      </c>
      <c r="B217" t="s">
        <v>532</v>
      </c>
      <c r="C217" t="s">
        <v>919</v>
      </c>
      <c r="D217" s="8" t="str">
        <f>IF(ISERROR(VLOOKUP(XMLTV[[#This Row],[SITE]]&amp;"-"&amp;XMLTV[[#This Row],[TVGID]],GUIDE[#All],1,0)),"✗","✓")</f>
        <v>✓</v>
      </c>
      <c r="E217" t="b">
        <v>1</v>
      </c>
    </row>
    <row r="218" spans="1:5" x14ac:dyDescent="0.55000000000000004">
      <c r="A218" t="s">
        <v>1935</v>
      </c>
      <c r="B218" t="s">
        <v>916</v>
      </c>
      <c r="C218" t="s">
        <v>919</v>
      </c>
      <c r="D218" s="8" t="str">
        <f>IF(ISERROR(VLOOKUP(XMLTV[[#This Row],[SITE]]&amp;"-"&amp;XMLTV[[#This Row],[TVGID]],GUIDE[#All],1,0)),"✗","✓")</f>
        <v>✓</v>
      </c>
      <c r="E218" t="b">
        <v>1</v>
      </c>
    </row>
    <row r="219" spans="1:5" x14ac:dyDescent="0.55000000000000004">
      <c r="A219" t="s">
        <v>1935</v>
      </c>
      <c r="B219" t="s">
        <v>557</v>
      </c>
      <c r="C219" t="s">
        <v>922</v>
      </c>
      <c r="D219" s="8" t="str">
        <f>IF(ISERROR(VLOOKUP(XMLTV[[#This Row],[SITE]]&amp;"-"&amp;XMLTV[[#This Row],[TVGID]],GUIDE[#All],1,0)),"✗","✓")</f>
        <v>✓</v>
      </c>
      <c r="E219" t="b">
        <v>1</v>
      </c>
    </row>
    <row r="220" spans="1:5" x14ac:dyDescent="0.55000000000000004">
      <c r="A220" t="s">
        <v>1935</v>
      </c>
      <c r="B220" t="s">
        <v>536</v>
      </c>
      <c r="C220" t="s">
        <v>919</v>
      </c>
      <c r="D220" s="8" t="str">
        <f>IF(ISERROR(VLOOKUP(XMLTV[[#This Row],[SITE]]&amp;"-"&amp;XMLTV[[#This Row],[TVGID]],GUIDE[#All],1,0)),"✗","✓")</f>
        <v>✓</v>
      </c>
      <c r="E220" t="b">
        <v>1</v>
      </c>
    </row>
    <row r="221" spans="1:5" x14ac:dyDescent="0.55000000000000004">
      <c r="A221" t="s">
        <v>1935</v>
      </c>
      <c r="B221" t="s">
        <v>548</v>
      </c>
      <c r="C221" t="s">
        <v>918</v>
      </c>
      <c r="D221" s="8" t="str">
        <f>IF(ISERROR(VLOOKUP(XMLTV[[#This Row],[SITE]]&amp;"-"&amp;XMLTV[[#This Row],[TVGID]],GUIDE[#All],1,0)),"✗","✓")</f>
        <v>✓</v>
      </c>
      <c r="E221" t="b">
        <v>1</v>
      </c>
    </row>
    <row r="222" spans="1:5" x14ac:dyDescent="0.55000000000000004">
      <c r="A222" t="s">
        <v>1935</v>
      </c>
      <c r="B222" t="s">
        <v>543</v>
      </c>
      <c r="C222" t="s">
        <v>919</v>
      </c>
      <c r="D222" s="8" t="str">
        <f>IF(ISERROR(VLOOKUP(XMLTV[[#This Row],[SITE]]&amp;"-"&amp;XMLTV[[#This Row],[TVGID]],GUIDE[#All],1,0)),"✗","✓")</f>
        <v>✓</v>
      </c>
      <c r="E222" t="b">
        <v>1</v>
      </c>
    </row>
    <row r="223" spans="1:5" x14ac:dyDescent="0.55000000000000004">
      <c r="A223" t="s">
        <v>1935</v>
      </c>
      <c r="B223" t="s">
        <v>585</v>
      </c>
      <c r="C223" t="s">
        <v>922</v>
      </c>
      <c r="D223" s="8" t="str">
        <f>IF(ISERROR(VLOOKUP(XMLTV[[#This Row],[SITE]]&amp;"-"&amp;XMLTV[[#This Row],[TVGID]],GUIDE[#All],1,0)),"✗","✓")</f>
        <v>✓</v>
      </c>
      <c r="E223" t="b">
        <v>1</v>
      </c>
    </row>
    <row r="224" spans="1:5" x14ac:dyDescent="0.55000000000000004">
      <c r="A224" t="s">
        <v>1935</v>
      </c>
      <c r="B224" t="s">
        <v>579</v>
      </c>
      <c r="C224" t="s">
        <v>919</v>
      </c>
      <c r="D224" s="8" t="str">
        <f>IF(ISERROR(VLOOKUP(XMLTV[[#This Row],[SITE]]&amp;"-"&amp;XMLTV[[#This Row],[TVGID]],GUIDE[#All],1,0)),"✗","✓")</f>
        <v>✓</v>
      </c>
      <c r="E224" t="b">
        <v>1</v>
      </c>
    </row>
    <row r="225" spans="1:5" x14ac:dyDescent="0.55000000000000004">
      <c r="A225" t="s">
        <v>1935</v>
      </c>
      <c r="B225" t="s">
        <v>534</v>
      </c>
      <c r="C225" t="s">
        <v>919</v>
      </c>
      <c r="D225" s="8" t="str">
        <f>IF(ISERROR(VLOOKUP(XMLTV[[#This Row],[SITE]]&amp;"-"&amp;XMLTV[[#This Row],[TVGID]],GUIDE[#All],1,0)),"✗","✓")</f>
        <v>✓</v>
      </c>
      <c r="E225" t="b">
        <v>1</v>
      </c>
    </row>
    <row r="226" spans="1:5" x14ac:dyDescent="0.55000000000000004">
      <c r="A226" t="s">
        <v>1935</v>
      </c>
      <c r="B226" t="s">
        <v>588</v>
      </c>
      <c r="C226" t="s">
        <v>917</v>
      </c>
      <c r="D226" s="8" t="str">
        <f>IF(ISERROR(VLOOKUP(XMLTV[[#This Row],[SITE]]&amp;"-"&amp;XMLTV[[#This Row],[TVGID]],GUIDE[#All],1,0)),"✗","✓")</f>
        <v>✓</v>
      </c>
      <c r="E226" t="b">
        <v>1</v>
      </c>
    </row>
    <row r="227" spans="1:5" x14ac:dyDescent="0.55000000000000004">
      <c r="A227" t="s">
        <v>1935</v>
      </c>
      <c r="B227" t="s">
        <v>578</v>
      </c>
      <c r="C227" t="s">
        <v>919</v>
      </c>
      <c r="D227" s="8" t="str">
        <f>IF(ISERROR(VLOOKUP(XMLTV[[#This Row],[SITE]]&amp;"-"&amp;XMLTV[[#This Row],[TVGID]],GUIDE[#All],1,0)),"✗","✓")</f>
        <v>✓</v>
      </c>
      <c r="E227" t="b">
        <v>1</v>
      </c>
    </row>
    <row r="228" spans="1:5" x14ac:dyDescent="0.55000000000000004">
      <c r="A228" t="s">
        <v>1935</v>
      </c>
      <c r="B228" t="s">
        <v>559</v>
      </c>
      <c r="C228" t="s">
        <v>919</v>
      </c>
      <c r="D228" s="8" t="str">
        <f>IF(ISERROR(VLOOKUP(XMLTV[[#This Row],[SITE]]&amp;"-"&amp;XMLTV[[#This Row],[TVGID]],GUIDE[#All],1,0)),"✗","✓")</f>
        <v>✓</v>
      </c>
      <c r="E228" t="b">
        <v>1</v>
      </c>
    </row>
    <row r="229" spans="1:5" x14ac:dyDescent="0.55000000000000004">
      <c r="A229" t="s">
        <v>1935</v>
      </c>
      <c r="B229" t="s">
        <v>675</v>
      </c>
      <c r="C229" t="s">
        <v>934</v>
      </c>
      <c r="D229" s="8" t="str">
        <f>IF(ISERROR(VLOOKUP(XMLTV[[#This Row],[SITE]]&amp;"-"&amp;XMLTV[[#This Row],[TVGID]],GUIDE[#All],1,0)),"✗","✓")</f>
        <v>✓</v>
      </c>
      <c r="E229" t="b">
        <v>1</v>
      </c>
    </row>
    <row r="230" spans="1:5" x14ac:dyDescent="0.55000000000000004">
      <c r="A230" t="s">
        <v>1935</v>
      </c>
      <c r="B230" t="s">
        <v>677</v>
      </c>
      <c r="C230" t="s">
        <v>934</v>
      </c>
      <c r="D230" s="8" t="str">
        <f>IF(ISERROR(VLOOKUP(XMLTV[[#This Row],[SITE]]&amp;"-"&amp;XMLTV[[#This Row],[TVGID]],GUIDE[#All],1,0)),"✗","✓")</f>
        <v>✓</v>
      </c>
      <c r="E230" t="b">
        <v>1</v>
      </c>
    </row>
    <row r="231" spans="1:5" x14ac:dyDescent="0.55000000000000004">
      <c r="A231" t="s">
        <v>1935</v>
      </c>
      <c r="B231" t="s">
        <v>676</v>
      </c>
      <c r="C231" t="s">
        <v>934</v>
      </c>
      <c r="D231" s="8" t="str">
        <f>IF(ISERROR(VLOOKUP(XMLTV[[#This Row],[SITE]]&amp;"-"&amp;XMLTV[[#This Row],[TVGID]],GUIDE[#All],1,0)),"✗","✓")</f>
        <v>✓</v>
      </c>
      <c r="E231" t="b">
        <v>1</v>
      </c>
    </row>
    <row r="232" spans="1:5" x14ac:dyDescent="0.55000000000000004">
      <c r="A232" t="s">
        <v>1935</v>
      </c>
      <c r="B232" t="s">
        <v>678</v>
      </c>
      <c r="C232" t="s">
        <v>934</v>
      </c>
      <c r="D232" s="8" t="str">
        <f>IF(ISERROR(VLOOKUP(XMLTV[[#This Row],[SITE]]&amp;"-"&amp;XMLTV[[#This Row],[TVGID]],GUIDE[#All],1,0)),"✗","✓")</f>
        <v>✓</v>
      </c>
      <c r="E232" t="b">
        <v>1</v>
      </c>
    </row>
    <row r="233" spans="1:5" x14ac:dyDescent="0.55000000000000004">
      <c r="A233" t="s">
        <v>1935</v>
      </c>
      <c r="B233" t="s">
        <v>673</v>
      </c>
      <c r="C233" t="s">
        <v>934</v>
      </c>
      <c r="D233" s="8" t="str">
        <f>IF(ISERROR(VLOOKUP(XMLTV[[#This Row],[SITE]]&amp;"-"&amp;XMLTV[[#This Row],[TVGID]],GUIDE[#All],1,0)),"✗","✓")</f>
        <v>✓</v>
      </c>
      <c r="E233" t="b">
        <v>1</v>
      </c>
    </row>
    <row r="234" spans="1:5" x14ac:dyDescent="0.55000000000000004">
      <c r="A234" t="s">
        <v>1935</v>
      </c>
      <c r="B234" t="s">
        <v>521</v>
      </c>
      <c r="C234" t="s">
        <v>934</v>
      </c>
      <c r="D234" s="8" t="str">
        <f>IF(ISERROR(VLOOKUP(XMLTV[[#This Row],[SITE]]&amp;"-"&amp;XMLTV[[#This Row],[TVGID]],GUIDE[#All],1,0)),"✗","✓")</f>
        <v>✓</v>
      </c>
      <c r="E234" t="b">
        <v>1</v>
      </c>
    </row>
    <row r="235" spans="1:5" x14ac:dyDescent="0.55000000000000004">
      <c r="A235" t="s">
        <v>1935</v>
      </c>
      <c r="B235" t="s">
        <v>924</v>
      </c>
      <c r="C235" t="s">
        <v>919</v>
      </c>
      <c r="D235" s="8" t="str">
        <f>IF(ISERROR(VLOOKUP(XMLTV[[#This Row],[SITE]]&amp;"-"&amp;XMLTV[[#This Row],[TVGID]],GUIDE[#All],1,0)),"✗","✓")</f>
        <v>✓</v>
      </c>
      <c r="E235" t="b">
        <v>1</v>
      </c>
    </row>
    <row r="236" spans="1:5" x14ac:dyDescent="0.55000000000000004">
      <c r="A236" t="s">
        <v>1935</v>
      </c>
      <c r="B236" t="s">
        <v>568</v>
      </c>
      <c r="C236" t="s">
        <v>919</v>
      </c>
      <c r="D236" s="8" t="str">
        <f>IF(ISERROR(VLOOKUP(XMLTV[[#This Row],[SITE]]&amp;"-"&amp;XMLTV[[#This Row],[TVGID]],GUIDE[#All],1,0)),"✗","✓")</f>
        <v>✓</v>
      </c>
      <c r="E236" t="b">
        <v>1</v>
      </c>
    </row>
    <row r="237" spans="1:5" x14ac:dyDescent="0.55000000000000004">
      <c r="A237" t="s">
        <v>1935</v>
      </c>
      <c r="B237" t="s">
        <v>523</v>
      </c>
      <c r="C237" t="s">
        <v>919</v>
      </c>
      <c r="D237" s="8" t="str">
        <f>IF(ISERROR(VLOOKUP(XMLTV[[#This Row],[SITE]]&amp;"-"&amp;XMLTV[[#This Row],[TVGID]],GUIDE[#All],1,0)),"✗","✓")</f>
        <v>✓</v>
      </c>
      <c r="E237" t="b">
        <v>1</v>
      </c>
    </row>
    <row r="238" spans="1:5" x14ac:dyDescent="0.55000000000000004">
      <c r="A238" t="s">
        <v>1935</v>
      </c>
      <c r="B238" t="s">
        <v>649</v>
      </c>
      <c r="C238" t="s">
        <v>919</v>
      </c>
      <c r="D238" s="8" t="str">
        <f>IF(ISERROR(VLOOKUP(XMLTV[[#This Row],[SITE]]&amp;"-"&amp;XMLTV[[#This Row],[TVGID]],GUIDE[#All],1,0)),"✗","✓")</f>
        <v>✓</v>
      </c>
      <c r="E238" t="b">
        <v>1</v>
      </c>
    </row>
    <row r="239" spans="1:5" x14ac:dyDescent="0.55000000000000004">
      <c r="A239" t="s">
        <v>1935</v>
      </c>
      <c r="B239" t="s">
        <v>545</v>
      </c>
      <c r="C239" t="s">
        <v>919</v>
      </c>
      <c r="D239" s="8" t="str">
        <f>IF(ISERROR(VLOOKUP(XMLTV[[#This Row],[SITE]]&amp;"-"&amp;XMLTV[[#This Row],[TVGID]],GUIDE[#All],1,0)),"✗","✓")</f>
        <v>✓</v>
      </c>
      <c r="E239" t="b">
        <v>1</v>
      </c>
    </row>
    <row r="240" spans="1:5" x14ac:dyDescent="0.55000000000000004">
      <c r="A240" t="s">
        <v>1935</v>
      </c>
      <c r="B240" t="s">
        <v>658</v>
      </c>
      <c r="C240" t="s">
        <v>919</v>
      </c>
      <c r="D240" s="8" t="str">
        <f>IF(ISERROR(VLOOKUP(XMLTV[[#This Row],[SITE]]&amp;"-"&amp;XMLTV[[#This Row],[TVGID]],GUIDE[#All],1,0)),"✗","✓")</f>
        <v>✓</v>
      </c>
      <c r="E240" t="b">
        <v>1</v>
      </c>
    </row>
    <row r="241" spans="1:5" x14ac:dyDescent="0.55000000000000004">
      <c r="A241" t="s">
        <v>1935</v>
      </c>
      <c r="B241" t="s">
        <v>634</v>
      </c>
      <c r="C241" t="s">
        <v>934</v>
      </c>
      <c r="D241" s="8" t="str">
        <f>IF(ISERROR(VLOOKUP(XMLTV[[#This Row],[SITE]]&amp;"-"&amp;XMLTV[[#This Row],[TVGID]],GUIDE[#All],1,0)),"✗","✓")</f>
        <v>✓</v>
      </c>
      <c r="E241" t="b">
        <v>1</v>
      </c>
    </row>
    <row r="242" spans="1:5" x14ac:dyDescent="0.55000000000000004">
      <c r="A242" t="s">
        <v>1935</v>
      </c>
      <c r="B242" t="s">
        <v>633</v>
      </c>
      <c r="C242" t="s">
        <v>934</v>
      </c>
      <c r="D242" s="8" t="str">
        <f>IF(ISERROR(VLOOKUP(XMLTV[[#This Row],[SITE]]&amp;"-"&amp;XMLTV[[#This Row],[TVGID]],GUIDE[#All],1,0)),"✗","✓")</f>
        <v>✓</v>
      </c>
      <c r="E242" t="b">
        <v>1</v>
      </c>
    </row>
    <row r="243" spans="1:5" x14ac:dyDescent="0.55000000000000004">
      <c r="A243" t="s">
        <v>1935</v>
      </c>
      <c r="B243" t="s">
        <v>573</v>
      </c>
      <c r="C243" t="s">
        <v>934</v>
      </c>
      <c r="D243" s="8" t="str">
        <f>IF(ISERROR(VLOOKUP(XMLTV[[#This Row],[SITE]]&amp;"-"&amp;XMLTV[[#This Row],[TVGID]],GUIDE[#All],1,0)),"✗","✓")</f>
        <v>✓</v>
      </c>
      <c r="E243" t="b">
        <v>1</v>
      </c>
    </row>
    <row r="244" spans="1:5" x14ac:dyDescent="0.55000000000000004">
      <c r="A244" t="s">
        <v>1935</v>
      </c>
      <c r="B244" t="s">
        <v>566</v>
      </c>
      <c r="C244" t="s">
        <v>934</v>
      </c>
      <c r="D244" s="8" t="str">
        <f>IF(ISERROR(VLOOKUP(XMLTV[[#This Row],[SITE]]&amp;"-"&amp;XMLTV[[#This Row],[TVGID]],GUIDE[#All],1,0)),"✗","✓")</f>
        <v>✓</v>
      </c>
      <c r="E244" t="b">
        <v>1</v>
      </c>
    </row>
    <row r="245" spans="1:5" x14ac:dyDescent="0.55000000000000004">
      <c r="A245" t="s">
        <v>1935</v>
      </c>
      <c r="B245" t="s">
        <v>621</v>
      </c>
      <c r="C245" t="s">
        <v>922</v>
      </c>
      <c r="D245" s="8" t="str">
        <f>IF(ISERROR(VLOOKUP(XMLTV[[#This Row],[SITE]]&amp;"-"&amp;XMLTV[[#This Row],[TVGID]],GUIDE[#All],1,0)),"✗","✓")</f>
        <v>✓</v>
      </c>
      <c r="E245" t="b">
        <v>1</v>
      </c>
    </row>
    <row r="246" spans="1:5" x14ac:dyDescent="0.55000000000000004">
      <c r="A246" t="s">
        <v>1935</v>
      </c>
      <c r="B246" t="s">
        <v>935</v>
      </c>
      <c r="C246" t="s">
        <v>934</v>
      </c>
      <c r="D246" s="8" t="str">
        <f>IF(ISERROR(VLOOKUP(XMLTV[[#This Row],[SITE]]&amp;"-"&amp;XMLTV[[#This Row],[TVGID]],GUIDE[#All],1,0)),"✗","✓")</f>
        <v>✓</v>
      </c>
      <c r="E246" t="b">
        <v>1</v>
      </c>
    </row>
    <row r="247" spans="1:5" x14ac:dyDescent="0.55000000000000004">
      <c r="A247" t="s">
        <v>1935</v>
      </c>
      <c r="B247" t="s">
        <v>936</v>
      </c>
      <c r="C247" t="s">
        <v>934</v>
      </c>
      <c r="D247" s="8" t="str">
        <f>IF(ISERROR(VLOOKUP(XMLTV[[#This Row],[SITE]]&amp;"-"&amp;XMLTV[[#This Row],[TVGID]],GUIDE[#All],1,0)),"✗","✓")</f>
        <v>✓</v>
      </c>
      <c r="E247" t="b">
        <v>1</v>
      </c>
    </row>
    <row r="248" spans="1:5" x14ac:dyDescent="0.55000000000000004">
      <c r="A248" t="s">
        <v>1935</v>
      </c>
      <c r="B248" t="s">
        <v>937</v>
      </c>
      <c r="C248" t="s">
        <v>934</v>
      </c>
      <c r="D248" s="8" t="str">
        <f>IF(ISERROR(VLOOKUP(XMLTV[[#This Row],[SITE]]&amp;"-"&amp;XMLTV[[#This Row],[TVGID]],GUIDE[#All],1,0)),"✗","✓")</f>
        <v>✓</v>
      </c>
      <c r="E248" t="b">
        <v>1</v>
      </c>
    </row>
    <row r="249" spans="1:5" x14ac:dyDescent="0.55000000000000004">
      <c r="A249" t="s">
        <v>1935</v>
      </c>
      <c r="B249" t="s">
        <v>628</v>
      </c>
      <c r="C249" t="s">
        <v>919</v>
      </c>
      <c r="D249" s="8" t="str">
        <f>IF(ISERROR(VLOOKUP(XMLTV[[#This Row],[SITE]]&amp;"-"&amp;XMLTV[[#This Row],[TVGID]],GUIDE[#All],1,0)),"✗","✓")</f>
        <v>✓</v>
      </c>
      <c r="E249" t="b">
        <v>1</v>
      </c>
    </row>
    <row r="250" spans="1:5" x14ac:dyDescent="0.55000000000000004">
      <c r="A250" t="s">
        <v>1935</v>
      </c>
      <c r="B250" t="s">
        <v>587</v>
      </c>
      <c r="C250" t="s">
        <v>919</v>
      </c>
      <c r="D250" s="8" t="str">
        <f>IF(ISERROR(VLOOKUP(XMLTV[[#This Row],[SITE]]&amp;"-"&amp;XMLTV[[#This Row],[TVGID]],GUIDE[#All],1,0)),"✗","✓")</f>
        <v>✓</v>
      </c>
      <c r="E250" t="b">
        <v>1</v>
      </c>
    </row>
    <row r="251" spans="1:5" x14ac:dyDescent="0.55000000000000004">
      <c r="A251" t="s">
        <v>1935</v>
      </c>
      <c r="B251" t="s">
        <v>561</v>
      </c>
      <c r="C251" t="s">
        <v>919</v>
      </c>
      <c r="D251" s="8" t="str">
        <f>IF(ISERROR(VLOOKUP(XMLTV[[#This Row],[SITE]]&amp;"-"&amp;XMLTV[[#This Row],[TVGID]],GUIDE[#All],1,0)),"✗","✓")</f>
        <v>✓</v>
      </c>
      <c r="E251" t="b">
        <v>1</v>
      </c>
    </row>
    <row r="252" spans="1:5" x14ac:dyDescent="0.55000000000000004">
      <c r="A252" t="s">
        <v>1935</v>
      </c>
      <c r="B252" t="s">
        <v>562</v>
      </c>
      <c r="C252" t="s">
        <v>919</v>
      </c>
      <c r="D252" s="8" t="str">
        <f>IF(ISERROR(VLOOKUP(XMLTV[[#This Row],[SITE]]&amp;"-"&amp;XMLTV[[#This Row],[TVGID]],GUIDE[#All],1,0)),"✗","✓")</f>
        <v>✓</v>
      </c>
      <c r="E252" t="b">
        <v>1</v>
      </c>
    </row>
    <row r="253" spans="1:5" x14ac:dyDescent="0.55000000000000004">
      <c r="A253" t="s">
        <v>1935</v>
      </c>
      <c r="B253" t="s">
        <v>577</v>
      </c>
      <c r="C253" t="s">
        <v>912</v>
      </c>
      <c r="D253" s="8" t="str">
        <f>IF(ISERROR(VLOOKUP(XMLTV[[#This Row],[SITE]]&amp;"-"&amp;XMLTV[[#This Row],[TVGID]],GUIDE[#All],1,0)),"✗","✓")</f>
        <v>✓</v>
      </c>
      <c r="E253" t="b">
        <v>1</v>
      </c>
    </row>
    <row r="254" spans="1:5" x14ac:dyDescent="0.55000000000000004">
      <c r="A254" t="s">
        <v>1935</v>
      </c>
      <c r="B254" t="s">
        <v>546</v>
      </c>
      <c r="C254" t="s">
        <v>917</v>
      </c>
      <c r="D254" s="8" t="str">
        <f>IF(ISERROR(VLOOKUP(XMLTV[[#This Row],[SITE]]&amp;"-"&amp;XMLTV[[#This Row],[TVGID]],GUIDE[#All],1,0)),"✗","✓")</f>
        <v>✓</v>
      </c>
      <c r="E254" t="b">
        <v>1</v>
      </c>
    </row>
    <row r="255" spans="1:5" hidden="1" x14ac:dyDescent="0.55000000000000004">
      <c r="A255" t="s">
        <v>1935</v>
      </c>
      <c r="B255" t="s">
        <v>595</v>
      </c>
      <c r="C255" t="s">
        <v>919</v>
      </c>
      <c r="D255" s="8" t="str">
        <f>IF(ISERROR(VLOOKUP(XMLTV[[#This Row],[SITE]]&amp;"-"&amp;XMLTV[[#This Row],[TVGID]],GUIDE[#All],1,0)),"✗","✓")</f>
        <v>✓</v>
      </c>
      <c r="E255" t="b">
        <v>0</v>
      </c>
    </row>
    <row r="256" spans="1:5" x14ac:dyDescent="0.55000000000000004">
      <c r="A256" t="s">
        <v>1935</v>
      </c>
      <c r="B256" t="s">
        <v>596</v>
      </c>
      <c r="C256" t="s">
        <v>934</v>
      </c>
      <c r="D256" s="8" t="str">
        <f>IF(ISERROR(VLOOKUP(XMLTV[[#This Row],[SITE]]&amp;"-"&amp;XMLTV[[#This Row],[TVGID]],GUIDE[#All],1,0)),"✗","✓")</f>
        <v>✓</v>
      </c>
      <c r="E256" t="b">
        <v>1</v>
      </c>
    </row>
    <row r="257" spans="1:5" x14ac:dyDescent="0.55000000000000004">
      <c r="A257" t="s">
        <v>1935</v>
      </c>
      <c r="B257" t="s">
        <v>631</v>
      </c>
      <c r="C257" t="s">
        <v>934</v>
      </c>
      <c r="D257" s="8" t="str">
        <f>IF(ISERROR(VLOOKUP(XMLTV[[#This Row],[SITE]]&amp;"-"&amp;XMLTV[[#This Row],[TVGID]],GUIDE[#All],1,0)),"✗","✓")</f>
        <v>✓</v>
      </c>
      <c r="E257" t="b">
        <v>1</v>
      </c>
    </row>
    <row r="258" spans="1:5" x14ac:dyDescent="0.55000000000000004">
      <c r="A258" t="s">
        <v>1935</v>
      </c>
      <c r="B258" t="s">
        <v>574</v>
      </c>
      <c r="C258" t="s">
        <v>934</v>
      </c>
      <c r="D258" s="8" t="str">
        <f>IF(ISERROR(VLOOKUP(XMLTV[[#This Row],[SITE]]&amp;"-"&amp;XMLTV[[#This Row],[TVGID]],GUIDE[#All],1,0)),"✗","✓")</f>
        <v>✓</v>
      </c>
      <c r="E258" t="b">
        <v>1</v>
      </c>
    </row>
    <row r="259" spans="1:5" x14ac:dyDescent="0.55000000000000004">
      <c r="A259" t="s">
        <v>1935</v>
      </c>
      <c r="B259" t="s">
        <v>538</v>
      </c>
      <c r="C259" t="s">
        <v>919</v>
      </c>
      <c r="D259" s="8" t="str">
        <f>IF(ISERROR(VLOOKUP(XMLTV[[#This Row],[SITE]]&amp;"-"&amp;XMLTV[[#This Row],[TVGID]],GUIDE[#All],1,0)),"✗","✓")</f>
        <v>✓</v>
      </c>
      <c r="E259" t="b">
        <v>1</v>
      </c>
    </row>
    <row r="260" spans="1:5" x14ac:dyDescent="0.55000000000000004">
      <c r="A260" t="s">
        <v>1935</v>
      </c>
      <c r="B260" t="s">
        <v>639</v>
      </c>
      <c r="C260" t="s">
        <v>919</v>
      </c>
      <c r="D260" s="8" t="str">
        <f>IF(ISERROR(VLOOKUP(XMLTV[[#This Row],[SITE]]&amp;"-"&amp;XMLTV[[#This Row],[TVGID]],GUIDE[#All],1,0)),"✗","✓")</f>
        <v>✓</v>
      </c>
      <c r="E260" t="b">
        <v>1</v>
      </c>
    </row>
    <row r="261" spans="1:5" x14ac:dyDescent="0.55000000000000004">
      <c r="A261" t="s">
        <v>1935</v>
      </c>
      <c r="B261" t="s">
        <v>928</v>
      </c>
      <c r="C261" t="s">
        <v>919</v>
      </c>
      <c r="D261" s="8" t="str">
        <f>IF(ISERROR(VLOOKUP(XMLTV[[#This Row],[SITE]]&amp;"-"&amp;XMLTV[[#This Row],[TVGID]],GUIDE[#All],1,0)),"✗","✓")</f>
        <v>✓</v>
      </c>
      <c r="E261" t="b">
        <v>1</v>
      </c>
    </row>
    <row r="262" spans="1:5" x14ac:dyDescent="0.55000000000000004">
      <c r="A262" t="s">
        <v>1935</v>
      </c>
      <c r="B262" t="s">
        <v>583</v>
      </c>
      <c r="C262" t="s">
        <v>919</v>
      </c>
      <c r="D262" s="8" t="str">
        <f>IF(ISERROR(VLOOKUP(XMLTV[[#This Row],[SITE]]&amp;"-"&amp;XMLTV[[#This Row],[TVGID]],GUIDE[#All],1,0)),"✗","✓")</f>
        <v>✓</v>
      </c>
      <c r="E262" t="b">
        <v>1</v>
      </c>
    </row>
    <row r="263" spans="1:5" x14ac:dyDescent="0.55000000000000004">
      <c r="A263" t="s">
        <v>1935</v>
      </c>
      <c r="B263" t="s">
        <v>632</v>
      </c>
      <c r="C263" t="s">
        <v>934</v>
      </c>
      <c r="D263" s="8" t="str">
        <f>IF(ISERROR(VLOOKUP(XMLTV[[#This Row],[SITE]]&amp;"-"&amp;XMLTV[[#This Row],[TVGID]],GUIDE[#All],1,0)),"✗","✓")</f>
        <v>✓</v>
      </c>
      <c r="E263" t="b">
        <v>1</v>
      </c>
    </row>
    <row r="264" spans="1:5" x14ac:dyDescent="0.55000000000000004">
      <c r="A264" t="s">
        <v>1935</v>
      </c>
      <c r="B264" t="s">
        <v>654</v>
      </c>
      <c r="C264" t="s">
        <v>919</v>
      </c>
      <c r="D264" s="8" t="str">
        <f>IF(ISERROR(VLOOKUP(XMLTV[[#This Row],[SITE]]&amp;"-"&amp;XMLTV[[#This Row],[TVGID]],GUIDE[#All],1,0)),"✗","✓")</f>
        <v>✓</v>
      </c>
      <c r="E264" t="b">
        <v>1</v>
      </c>
    </row>
    <row r="265" spans="1:5" x14ac:dyDescent="0.55000000000000004">
      <c r="A265" t="s">
        <v>1935</v>
      </c>
      <c r="B265" t="s">
        <v>530</v>
      </c>
      <c r="C265" t="s">
        <v>919</v>
      </c>
      <c r="D265" s="8" t="str">
        <f>IF(ISERROR(VLOOKUP(XMLTV[[#This Row],[SITE]]&amp;"-"&amp;XMLTV[[#This Row],[TVGID]],GUIDE[#All],1,0)),"✗","✓")</f>
        <v>✓</v>
      </c>
      <c r="E265" t="b">
        <v>1</v>
      </c>
    </row>
    <row r="266" spans="1:5" x14ac:dyDescent="0.55000000000000004">
      <c r="A266" t="s">
        <v>1935</v>
      </c>
      <c r="B266" t="s">
        <v>933</v>
      </c>
      <c r="C266" t="s">
        <v>934</v>
      </c>
      <c r="D266" s="8" t="str">
        <f>IF(ISERROR(VLOOKUP(XMLTV[[#This Row],[SITE]]&amp;"-"&amp;XMLTV[[#This Row],[TVGID]],GUIDE[#All],1,0)),"✗","✓")</f>
        <v>✓</v>
      </c>
      <c r="E266" t="b">
        <v>1</v>
      </c>
    </row>
    <row r="267" spans="1:5" x14ac:dyDescent="0.55000000000000004">
      <c r="A267" t="s">
        <v>1935</v>
      </c>
      <c r="B267" t="s">
        <v>549</v>
      </c>
      <c r="C267" t="s">
        <v>919</v>
      </c>
      <c r="D267" s="8" t="str">
        <f>IF(ISERROR(VLOOKUP(XMLTV[[#This Row],[SITE]]&amp;"-"&amp;XMLTV[[#This Row],[TVGID]],GUIDE[#All],1,0)),"✗","✓")</f>
        <v>✓</v>
      </c>
      <c r="E267" t="b">
        <v>1</v>
      </c>
    </row>
    <row r="268" spans="1:5" x14ac:dyDescent="0.55000000000000004">
      <c r="A268" t="s">
        <v>1935</v>
      </c>
      <c r="B268" t="s">
        <v>925</v>
      </c>
      <c r="C268" t="s">
        <v>918</v>
      </c>
      <c r="D268" s="8" t="str">
        <f>IF(ISERROR(VLOOKUP(XMLTV[[#This Row],[SITE]]&amp;"-"&amp;XMLTV[[#This Row],[TVGID]],GUIDE[#All],1,0)),"✗","✓")</f>
        <v>✓</v>
      </c>
      <c r="E268" t="b">
        <v>1</v>
      </c>
    </row>
    <row r="269" spans="1:5" x14ac:dyDescent="0.55000000000000004">
      <c r="A269" t="s">
        <v>1935</v>
      </c>
      <c r="B269" t="s">
        <v>614</v>
      </c>
      <c r="C269" t="s">
        <v>919</v>
      </c>
      <c r="D269" s="8" t="str">
        <f>IF(ISERROR(VLOOKUP(XMLTV[[#This Row],[SITE]]&amp;"-"&amp;XMLTV[[#This Row],[TVGID]],GUIDE[#All],1,0)),"✗","✓")</f>
        <v>✓</v>
      </c>
      <c r="E269" t="b">
        <v>1</v>
      </c>
    </row>
    <row r="270" spans="1:5" x14ac:dyDescent="0.55000000000000004">
      <c r="A270" t="s">
        <v>1935</v>
      </c>
      <c r="B270" t="s">
        <v>615</v>
      </c>
      <c r="C270" t="s">
        <v>919</v>
      </c>
      <c r="D270" s="8" t="str">
        <f>IF(ISERROR(VLOOKUP(XMLTV[[#This Row],[SITE]]&amp;"-"&amp;XMLTV[[#This Row],[TVGID]],GUIDE[#All],1,0)),"✗","✓")</f>
        <v>✓</v>
      </c>
      <c r="E270" t="b">
        <v>1</v>
      </c>
    </row>
    <row r="271" spans="1:5" x14ac:dyDescent="0.55000000000000004">
      <c r="A271" t="s">
        <v>1935</v>
      </c>
      <c r="B271" t="s">
        <v>377</v>
      </c>
      <c r="C271" t="s">
        <v>919</v>
      </c>
      <c r="D271" s="8" t="str">
        <f>IF(ISERROR(VLOOKUP(XMLTV[[#This Row],[SITE]]&amp;"-"&amp;XMLTV[[#This Row],[TVGID]],GUIDE[#All],1,0)),"✗","✓")</f>
        <v>✓</v>
      </c>
      <c r="E271" t="b">
        <v>1</v>
      </c>
    </row>
    <row r="272" spans="1:5" x14ac:dyDescent="0.55000000000000004">
      <c r="A272" t="s">
        <v>1935</v>
      </c>
      <c r="B272" s="2" t="s">
        <v>1202</v>
      </c>
      <c r="C272" t="s">
        <v>934</v>
      </c>
      <c r="D272" s="8" t="str">
        <f>IF(ISERROR(VLOOKUP(XMLTV[[#This Row],[SITE]]&amp;"-"&amp;XMLTV[[#This Row],[TVGID]],GUIDE[#All],1,0)),"✗","✓")</f>
        <v>✓</v>
      </c>
      <c r="E272" t="b">
        <v>1</v>
      </c>
    </row>
    <row r="273" spans="1:5" x14ac:dyDescent="0.55000000000000004">
      <c r="A273" t="s">
        <v>1935</v>
      </c>
      <c r="B273" t="s">
        <v>604</v>
      </c>
      <c r="C273" t="s">
        <v>919</v>
      </c>
      <c r="D273" s="8" t="str">
        <f>IF(ISERROR(VLOOKUP(XMLTV[[#This Row],[SITE]]&amp;"-"&amp;XMLTV[[#This Row],[TVGID]],GUIDE[#All],1,0)),"✗","✓")</f>
        <v>✓</v>
      </c>
      <c r="E273" t="b">
        <v>1</v>
      </c>
    </row>
    <row r="274" spans="1:5" x14ac:dyDescent="0.55000000000000004">
      <c r="A274" t="s">
        <v>1935</v>
      </c>
      <c r="B274" t="s">
        <v>572</v>
      </c>
      <c r="C274" t="s">
        <v>922</v>
      </c>
      <c r="D274" s="8" t="str">
        <f>IF(ISERROR(VLOOKUP(XMLTV[[#This Row],[SITE]]&amp;"-"&amp;XMLTV[[#This Row],[TVGID]],GUIDE[#All],1,0)),"✗","✓")</f>
        <v>✓</v>
      </c>
      <c r="E274" t="b">
        <v>1</v>
      </c>
    </row>
    <row r="275" spans="1:5" x14ac:dyDescent="0.55000000000000004">
      <c r="A275" t="s">
        <v>1935</v>
      </c>
      <c r="B275" t="s">
        <v>528</v>
      </c>
      <c r="C275" t="s">
        <v>919</v>
      </c>
      <c r="D275" s="8" t="str">
        <f>IF(ISERROR(VLOOKUP(XMLTV[[#This Row],[SITE]]&amp;"-"&amp;XMLTV[[#This Row],[TVGID]],GUIDE[#All],1,0)),"✗","✓")</f>
        <v>✓</v>
      </c>
      <c r="E275" t="b">
        <v>1</v>
      </c>
    </row>
    <row r="276" spans="1:5" x14ac:dyDescent="0.55000000000000004">
      <c r="A276" t="s">
        <v>1935</v>
      </c>
      <c r="B276" t="s">
        <v>527</v>
      </c>
      <c r="C276" t="s">
        <v>919</v>
      </c>
      <c r="D276" s="8" t="str">
        <f>IF(ISERROR(VLOOKUP(XMLTV[[#This Row],[SITE]]&amp;"-"&amp;XMLTV[[#This Row],[TVGID]],GUIDE[#All],1,0)),"✗","✓")</f>
        <v>✓</v>
      </c>
      <c r="E276" t="b">
        <v>1</v>
      </c>
    </row>
    <row r="277" spans="1:5" x14ac:dyDescent="0.55000000000000004">
      <c r="A277" t="s">
        <v>1935</v>
      </c>
      <c r="B277" t="s">
        <v>582</v>
      </c>
      <c r="C277" t="s">
        <v>919</v>
      </c>
      <c r="D277" s="8" t="str">
        <f>IF(ISERROR(VLOOKUP(XMLTV[[#This Row],[SITE]]&amp;"-"&amp;XMLTV[[#This Row],[TVGID]],GUIDE[#All],1,0)),"✗","✓")</f>
        <v>✓</v>
      </c>
      <c r="E277" t="b">
        <v>1</v>
      </c>
    </row>
    <row r="278" spans="1:5" x14ac:dyDescent="0.55000000000000004">
      <c r="A278" t="s">
        <v>1935</v>
      </c>
      <c r="B278" t="s">
        <v>635</v>
      </c>
      <c r="C278" t="s">
        <v>919</v>
      </c>
      <c r="D278" s="8" t="str">
        <f>IF(ISERROR(VLOOKUP(XMLTV[[#This Row],[SITE]]&amp;"-"&amp;XMLTV[[#This Row],[TVGID]],GUIDE[#All],1,0)),"✗","✓")</f>
        <v>✓</v>
      </c>
      <c r="E278" t="b">
        <v>1</v>
      </c>
    </row>
    <row r="279" spans="1:5" x14ac:dyDescent="0.55000000000000004">
      <c r="A279" t="s">
        <v>1935</v>
      </c>
      <c r="B279" t="s">
        <v>629</v>
      </c>
      <c r="C279" t="s">
        <v>934</v>
      </c>
      <c r="D279" s="8" t="str">
        <f>IF(ISERROR(VLOOKUP(XMLTV[[#This Row],[SITE]]&amp;"-"&amp;XMLTV[[#This Row],[TVGID]],GUIDE[#All],1,0)),"✗","✓")</f>
        <v>✓</v>
      </c>
      <c r="E279" t="b">
        <v>1</v>
      </c>
    </row>
    <row r="280" spans="1:5" x14ac:dyDescent="0.55000000000000004">
      <c r="A280" t="s">
        <v>1935</v>
      </c>
      <c r="B280" t="s">
        <v>636</v>
      </c>
      <c r="C280" t="s">
        <v>919</v>
      </c>
      <c r="D280" s="8" t="str">
        <f>IF(ISERROR(VLOOKUP(XMLTV[[#This Row],[SITE]]&amp;"-"&amp;XMLTV[[#This Row],[TVGID]],GUIDE[#All],1,0)),"✗","✓")</f>
        <v>✓</v>
      </c>
      <c r="E280" t="b">
        <v>1</v>
      </c>
    </row>
    <row r="281" spans="1:5" x14ac:dyDescent="0.55000000000000004">
      <c r="A281" t="s">
        <v>1935</v>
      </c>
      <c r="B281" t="s">
        <v>637</v>
      </c>
      <c r="C281" t="s">
        <v>934</v>
      </c>
      <c r="D281" s="8" t="str">
        <f>IF(ISERROR(VLOOKUP(XMLTV[[#This Row],[SITE]]&amp;"-"&amp;XMLTV[[#This Row],[TVGID]],GUIDE[#All],1,0)),"✗","✓")</f>
        <v>✓</v>
      </c>
      <c r="E281" t="b">
        <v>1</v>
      </c>
    </row>
    <row r="282" spans="1:5" x14ac:dyDescent="0.55000000000000004">
      <c r="A282" t="s">
        <v>1935</v>
      </c>
      <c r="B282" t="s">
        <v>584</v>
      </c>
      <c r="C282" t="s">
        <v>919</v>
      </c>
      <c r="D282" s="8" t="str">
        <f>IF(ISERROR(VLOOKUP(XMLTV[[#This Row],[SITE]]&amp;"-"&amp;XMLTV[[#This Row],[TVGID]],GUIDE[#All],1,0)),"✗","✓")</f>
        <v>✓</v>
      </c>
      <c r="E282" t="b">
        <v>1</v>
      </c>
    </row>
    <row r="283" spans="1:5" x14ac:dyDescent="0.55000000000000004">
      <c r="A283" t="s">
        <v>1935</v>
      </c>
      <c r="B283" t="s">
        <v>606</v>
      </c>
      <c r="C283" t="s">
        <v>919</v>
      </c>
      <c r="D283" s="8" t="str">
        <f>IF(ISERROR(VLOOKUP(XMLTV[[#This Row],[SITE]]&amp;"-"&amp;XMLTV[[#This Row],[TVGID]],GUIDE[#All],1,0)),"✗","✓")</f>
        <v>✓</v>
      </c>
      <c r="E283" t="b">
        <v>1</v>
      </c>
    </row>
    <row r="284" spans="1:5" x14ac:dyDescent="0.55000000000000004">
      <c r="A284" t="s">
        <v>1935</v>
      </c>
      <c r="B284" t="s">
        <v>526</v>
      </c>
      <c r="C284" t="s">
        <v>919</v>
      </c>
      <c r="D284" s="8" t="str">
        <f>IF(ISERROR(VLOOKUP(XMLTV[[#This Row],[SITE]]&amp;"-"&amp;XMLTV[[#This Row],[TVGID]],GUIDE[#All],1,0)),"✗","✓")</f>
        <v>✓</v>
      </c>
      <c r="E284" t="b">
        <v>1</v>
      </c>
    </row>
    <row r="285" spans="1:5" x14ac:dyDescent="0.55000000000000004">
      <c r="A285" t="s">
        <v>1935</v>
      </c>
      <c r="B285" t="s">
        <v>522</v>
      </c>
      <c r="C285" t="s">
        <v>919</v>
      </c>
      <c r="D285" s="8" t="str">
        <f>IF(ISERROR(VLOOKUP(XMLTV[[#This Row],[SITE]]&amp;"-"&amp;XMLTV[[#This Row],[TVGID]],GUIDE[#All],1,0)),"✗","✓")</f>
        <v>✓</v>
      </c>
      <c r="E285" t="b">
        <v>1</v>
      </c>
    </row>
    <row r="286" spans="1:5" x14ac:dyDescent="0.55000000000000004">
      <c r="A286" t="s">
        <v>1935</v>
      </c>
      <c r="B286" t="s">
        <v>638</v>
      </c>
      <c r="C286" t="s">
        <v>934</v>
      </c>
      <c r="D286" s="8" t="str">
        <f>IF(ISERROR(VLOOKUP(XMLTV[[#This Row],[SITE]]&amp;"-"&amp;XMLTV[[#This Row],[TVGID]],GUIDE[#All],1,0)),"✗","✓")</f>
        <v>✓</v>
      </c>
      <c r="E286" t="b">
        <v>1</v>
      </c>
    </row>
    <row r="287" spans="1:5" x14ac:dyDescent="0.55000000000000004">
      <c r="A287" t="s">
        <v>1935</v>
      </c>
      <c r="B287" t="s">
        <v>622</v>
      </c>
      <c r="D287" s="8" t="str">
        <f>IF(ISERROR(VLOOKUP(XMLTV[[#This Row],[SITE]]&amp;"-"&amp;XMLTV[[#This Row],[TVGID]],GUIDE[#All],1,0)),"✗","✓")</f>
        <v>✗</v>
      </c>
      <c r="E287" t="b">
        <v>1</v>
      </c>
    </row>
    <row r="288" spans="1:5" x14ac:dyDescent="0.55000000000000004">
      <c r="A288" t="s">
        <v>1935</v>
      </c>
      <c r="B288" t="s">
        <v>581</v>
      </c>
      <c r="C288" t="s">
        <v>917</v>
      </c>
      <c r="D288" s="8" t="str">
        <f>IF(ISERROR(VLOOKUP(XMLTV[[#This Row],[SITE]]&amp;"-"&amp;XMLTV[[#This Row],[TVGID]],GUIDE[#All],1,0)),"✗","✓")</f>
        <v>✓</v>
      </c>
      <c r="E288" t="b">
        <v>1</v>
      </c>
    </row>
    <row r="289" spans="1:5" x14ac:dyDescent="0.55000000000000004">
      <c r="A289" t="s">
        <v>1935</v>
      </c>
      <c r="B289" t="s">
        <v>623</v>
      </c>
      <c r="C289" t="s">
        <v>929</v>
      </c>
      <c r="D289" s="8" t="str">
        <f>IF(ISERROR(VLOOKUP(XMLTV[[#This Row],[SITE]]&amp;"-"&amp;XMLTV[[#This Row],[TVGID]],GUIDE[#All],1,0)),"✗","✓")</f>
        <v>✓</v>
      </c>
      <c r="E289" t="b">
        <v>1</v>
      </c>
    </row>
    <row r="290" spans="1:5" x14ac:dyDescent="0.55000000000000004">
      <c r="A290" t="s">
        <v>1935</v>
      </c>
      <c r="B290" t="s">
        <v>607</v>
      </c>
      <c r="C290" t="s">
        <v>919</v>
      </c>
      <c r="D290" s="8" t="str">
        <f>IF(ISERROR(VLOOKUP(XMLTV[[#This Row],[SITE]]&amp;"-"&amp;XMLTV[[#This Row],[TVGID]],GUIDE[#All],1,0)),"✗","✓")</f>
        <v>✓</v>
      </c>
      <c r="E290" t="b">
        <v>1</v>
      </c>
    </row>
    <row r="291" spans="1:5" x14ac:dyDescent="0.55000000000000004">
      <c r="A291" t="s">
        <v>1935</v>
      </c>
      <c r="B291" t="s">
        <v>932</v>
      </c>
      <c r="C291" t="s">
        <v>934</v>
      </c>
      <c r="D291" s="8" t="str">
        <f>IF(ISERROR(VLOOKUP(XMLTV[[#This Row],[SITE]]&amp;"-"&amp;XMLTV[[#This Row],[TVGID]],GUIDE[#All],1,0)),"✗","✓")</f>
        <v>✓</v>
      </c>
      <c r="E291" t="b">
        <v>1</v>
      </c>
    </row>
  </sheetData>
  <conditionalFormatting sqref="D2:D291">
    <cfRule type="cellIs" dxfId="13" priority="1" operator="equal">
      <formula>"✗"</formula>
    </cfRule>
    <cfRule type="cellIs" dxfId="12" priority="2" operator="equal">
      <formula>"✓"</formula>
    </cfRule>
  </conditionalFormatting>
  <hyperlinks>
    <hyperlink ref="B127" r:id="rId1" xr:uid="{39224EA4-56E1-461E-B27C-9CCE64DDE4EF}"/>
    <hyperlink ref="B272" r:id="rId2" xr:uid="{F51138A1-E5A7-4F2A-8CC8-A68464D706D8}"/>
    <hyperlink ref="B20" r:id="rId3" xr:uid="{FB2C2784-1BEA-46FD-92CB-A35D51EBB3C9}"/>
  </hyperlinks>
  <pageMargins left="0.7" right="0.7" top="0.75" bottom="0.75" header="0.3" footer="0.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A15D1-B138-4655-A91E-EBAE34F2EC1D}">
  <sheetPr codeName="Sheet4"/>
  <dimension ref="A1:F787"/>
  <sheetViews>
    <sheetView topLeftCell="A358" workbookViewId="0"/>
  </sheetViews>
  <sheetFormatPr defaultRowHeight="14.4" x14ac:dyDescent="0.55000000000000004"/>
  <cols>
    <col min="1" max="1" width="48.9453125" bestFit="1" customWidth="1"/>
    <col min="2" max="2" width="16.9453125" bestFit="1" customWidth="1"/>
    <col min="3" max="3" width="22.9453125" bestFit="1" customWidth="1"/>
    <col min="4" max="4" width="7.41796875" bestFit="1" customWidth="1"/>
    <col min="5" max="5" width="32" bestFit="1" customWidth="1"/>
    <col min="6" max="6" width="29.9453125" bestFit="1" customWidth="1"/>
    <col min="7" max="7" width="7.41796875" bestFit="1" customWidth="1"/>
    <col min="8" max="8" width="11.20703125" bestFit="1" customWidth="1"/>
  </cols>
  <sheetData>
    <row r="1" spans="1:6" x14ac:dyDescent="0.55000000000000004">
      <c r="A1" t="s">
        <v>911</v>
      </c>
      <c r="B1" t="s">
        <v>907</v>
      </c>
      <c r="C1" t="s">
        <v>908</v>
      </c>
      <c r="D1" t="s">
        <v>909</v>
      </c>
      <c r="E1" t="s">
        <v>273</v>
      </c>
      <c r="F1" t="s">
        <v>910</v>
      </c>
    </row>
    <row r="2" spans="1:6" x14ac:dyDescent="0.55000000000000004">
      <c r="A2" s="4" t="str">
        <f>GUIDE[[#This Row],[SITE]]&amp;"-"&amp;GUIDE[[#This Row],[TVGID]]</f>
        <v>cubmu.com-ABCAustralia.au@SD</v>
      </c>
      <c r="B2" t="s">
        <v>912</v>
      </c>
      <c r="C2" s="3" t="s">
        <v>938</v>
      </c>
      <c r="D2" t="s">
        <v>939</v>
      </c>
      <c r="E2" t="s">
        <v>590</v>
      </c>
      <c r="F2" t="s">
        <v>96</v>
      </c>
    </row>
    <row r="3" spans="1:6" x14ac:dyDescent="0.55000000000000004">
      <c r="A3" s="4" t="str">
        <f>GUIDE[[#This Row],[SITE]]&amp;"-"&amp;GUIDE[[#This Row],[TVGID]]</f>
        <v>cubmu.com-AlJazeera.qa@Arabic</v>
      </c>
      <c r="B3" t="s">
        <v>912</v>
      </c>
      <c r="C3" s="3" t="s">
        <v>940</v>
      </c>
      <c r="D3" t="s">
        <v>939</v>
      </c>
      <c r="E3" t="s">
        <v>641</v>
      </c>
      <c r="F3" t="s">
        <v>683</v>
      </c>
    </row>
    <row r="4" spans="1:6" x14ac:dyDescent="0.55000000000000004">
      <c r="A4" s="4" t="str">
        <f>GUIDE[[#This Row],[SITE]]&amp;"-"&amp;GUIDE[[#This Row],[TVGID]]</f>
        <v>cubmu.com-AlQuranAlKareemTV.sa@SD</v>
      </c>
      <c r="B4" t="s">
        <v>912</v>
      </c>
      <c r="C4" s="3" t="s">
        <v>941</v>
      </c>
      <c r="D4" t="s">
        <v>939</v>
      </c>
      <c r="E4" t="s">
        <v>914</v>
      </c>
      <c r="F4" t="s">
        <v>942</v>
      </c>
    </row>
    <row r="5" spans="1:6" x14ac:dyDescent="0.55000000000000004">
      <c r="A5" s="4" t="str">
        <f>GUIDE[[#This Row],[SITE]]&amp;"-"&amp;GUIDE[[#This Row],[TVGID]]</f>
        <v>cubmu.com-ANTV.id@SD</v>
      </c>
      <c r="B5" t="s">
        <v>912</v>
      </c>
      <c r="C5" s="3" t="s">
        <v>943</v>
      </c>
      <c r="D5" t="s">
        <v>939</v>
      </c>
      <c r="E5" t="s">
        <v>531</v>
      </c>
      <c r="F5" t="s">
        <v>89</v>
      </c>
    </row>
    <row r="6" spans="1:6" x14ac:dyDescent="0.55000000000000004">
      <c r="A6" s="4" t="str">
        <f>GUIDE[[#This Row],[SITE]]&amp;"-"&amp;GUIDE[[#This Row],[TVGID]]</f>
        <v>cubmu.com-ArirangTV.kr@SD</v>
      </c>
      <c r="B6" t="s">
        <v>912</v>
      </c>
      <c r="C6" s="3" t="s">
        <v>944</v>
      </c>
      <c r="D6" t="s">
        <v>939</v>
      </c>
      <c r="E6" t="s">
        <v>591</v>
      </c>
      <c r="F6" t="s">
        <v>94</v>
      </c>
    </row>
    <row r="7" spans="1:6" x14ac:dyDescent="0.55000000000000004">
      <c r="A7" s="4" t="str">
        <f>GUIDE[[#This Row],[SITE]]&amp;"-"&amp;GUIDE[[#This Row],[TVGID]]</f>
        <v>cubmu.com-BeritaSatu.id@SD</v>
      </c>
      <c r="B7" t="s">
        <v>912</v>
      </c>
      <c r="C7" s="3" t="s">
        <v>945</v>
      </c>
      <c r="D7" t="s">
        <v>939</v>
      </c>
      <c r="E7" t="s">
        <v>537</v>
      </c>
      <c r="F7" t="s">
        <v>695</v>
      </c>
    </row>
    <row r="8" spans="1:6" x14ac:dyDescent="0.55000000000000004">
      <c r="A8" s="4" t="str">
        <f>GUIDE[[#This Row],[SITE]]&amp;"-"&amp;GUIDE[[#This Row],[TVGID]]</f>
        <v>cubmu.com-BioskopIndonesia.id@SD</v>
      </c>
      <c r="B8" t="s">
        <v>912</v>
      </c>
      <c r="C8" s="3" t="s">
        <v>946</v>
      </c>
      <c r="D8" t="s">
        <v>939</v>
      </c>
      <c r="E8" t="s">
        <v>610</v>
      </c>
      <c r="F8" t="s">
        <v>72</v>
      </c>
    </row>
    <row r="9" spans="1:6" x14ac:dyDescent="0.55000000000000004">
      <c r="A9" s="4" t="str">
        <f>GUIDE[[#This Row],[SITE]]&amp;"-"&amp;GUIDE[[#This Row],[TVGID]]</f>
        <v>cubmu.com-BTV.id@SD</v>
      </c>
      <c r="B9" t="s">
        <v>912</v>
      </c>
      <c r="C9" s="3" t="s">
        <v>947</v>
      </c>
      <c r="D9" t="s">
        <v>939</v>
      </c>
      <c r="E9" t="s">
        <v>535</v>
      </c>
      <c r="F9" t="s">
        <v>86</v>
      </c>
    </row>
    <row r="10" spans="1:6" x14ac:dyDescent="0.55000000000000004">
      <c r="A10" s="4" t="str">
        <f>GUIDE[[#This Row],[SITE]]&amp;"-"&amp;GUIDE[[#This Row],[TVGID]]</f>
        <v>cubmu.com-CCTV4Asia.cn@SD</v>
      </c>
      <c r="B10" t="s">
        <v>912</v>
      </c>
      <c r="C10" s="3" t="s">
        <v>948</v>
      </c>
      <c r="D10" t="s">
        <v>939</v>
      </c>
      <c r="E10" t="s">
        <v>592</v>
      </c>
      <c r="F10" t="s">
        <v>64</v>
      </c>
    </row>
    <row r="11" spans="1:6" x14ac:dyDescent="0.55000000000000004">
      <c r="A11" s="4" t="str">
        <f>GUIDE[[#This Row],[SITE]]&amp;"-"&amp;GUIDE[[#This Row],[TVGID]]</f>
        <v>cubmu.com-CelestialMoviesIndonesia.id@SD</v>
      </c>
      <c r="B11" t="s">
        <v>912</v>
      </c>
      <c r="C11" s="3" t="s">
        <v>949</v>
      </c>
      <c r="D11" t="s">
        <v>939</v>
      </c>
      <c r="E11" t="s">
        <v>605</v>
      </c>
      <c r="F11" t="s">
        <v>706</v>
      </c>
    </row>
    <row r="12" spans="1:6" x14ac:dyDescent="0.55000000000000004">
      <c r="A12" s="4" t="str">
        <f>GUIDE[[#This Row],[SITE]]&amp;"-"&amp;GUIDE[[#This Row],[TVGID]]</f>
        <v>cubmu.com-CGTN.cn@SD</v>
      </c>
      <c r="B12" t="s">
        <v>912</v>
      </c>
      <c r="C12" s="3" t="s">
        <v>950</v>
      </c>
      <c r="D12" t="s">
        <v>939</v>
      </c>
      <c r="E12" t="s">
        <v>951</v>
      </c>
      <c r="F12" t="s">
        <v>709</v>
      </c>
    </row>
    <row r="13" spans="1:6" x14ac:dyDescent="0.55000000000000004">
      <c r="A13" s="4" t="str">
        <f>GUIDE[[#This Row],[SITE]]&amp;"-"&amp;GUIDE[[#This Row],[TVGID]]</f>
        <v>cubmu.com-CGTNDocumentary.cn@SD</v>
      </c>
      <c r="B13" t="s">
        <v>912</v>
      </c>
      <c r="C13" s="3" t="s">
        <v>952</v>
      </c>
      <c r="D13" t="s">
        <v>939</v>
      </c>
      <c r="E13" t="s">
        <v>555</v>
      </c>
      <c r="F13" t="s">
        <v>48</v>
      </c>
    </row>
    <row r="14" spans="1:6" x14ac:dyDescent="0.55000000000000004">
      <c r="A14" s="4" t="str">
        <f>GUIDE[[#This Row],[SITE]]&amp;"-"&amp;GUIDE[[#This Row],[TVGID]]</f>
        <v>cubmu.com-ChannelJowo.id@SD</v>
      </c>
      <c r="B14" t="s">
        <v>912</v>
      </c>
      <c r="C14" s="3" t="s">
        <v>953</v>
      </c>
      <c r="D14" t="s">
        <v>939</v>
      </c>
      <c r="E14" t="s">
        <v>551</v>
      </c>
      <c r="F14" t="s">
        <v>954</v>
      </c>
    </row>
    <row r="15" spans="1:6" x14ac:dyDescent="0.55000000000000004">
      <c r="A15" s="4" t="str">
        <f>GUIDE[[#This Row],[SITE]]&amp;"-"&amp;GUIDE[[#This Row],[TVGID]]</f>
        <v>cubmu.com-CNA.sg@SD</v>
      </c>
      <c r="B15" t="s">
        <v>912</v>
      </c>
      <c r="C15" s="3" t="s">
        <v>955</v>
      </c>
      <c r="D15" t="s">
        <v>939</v>
      </c>
      <c r="E15" t="s">
        <v>627</v>
      </c>
      <c r="F15" t="s">
        <v>956</v>
      </c>
    </row>
    <row r="16" spans="1:6" x14ac:dyDescent="0.55000000000000004">
      <c r="A16" s="4" t="str">
        <f>GUIDE[[#This Row],[SITE]]&amp;"-"&amp;GUIDE[[#This Row],[TVGID]]</f>
        <v>cubmu.com-CNBCAsia.sg@SD</v>
      </c>
      <c r="B16" t="s">
        <v>912</v>
      </c>
      <c r="C16" s="3" t="s">
        <v>957</v>
      </c>
      <c r="D16" t="s">
        <v>939</v>
      </c>
      <c r="E16" t="s">
        <v>626</v>
      </c>
      <c r="F16" t="s">
        <v>97</v>
      </c>
    </row>
    <row r="17" spans="1:6" x14ac:dyDescent="0.55000000000000004">
      <c r="A17" s="4" t="str">
        <f>GUIDE[[#This Row],[SITE]]&amp;"-"&amp;GUIDE[[#This Row],[TVGID]]</f>
        <v>cubmu.com-CNBCIndonesia.id@SD</v>
      </c>
      <c r="B17" t="s">
        <v>912</v>
      </c>
      <c r="C17" s="3" t="s">
        <v>958</v>
      </c>
      <c r="D17" t="s">
        <v>939</v>
      </c>
      <c r="E17" t="s">
        <v>550</v>
      </c>
      <c r="F17" t="s">
        <v>79</v>
      </c>
    </row>
    <row r="18" spans="1:6" x14ac:dyDescent="0.55000000000000004">
      <c r="A18" s="4" t="str">
        <f>GUIDE[[#This Row],[SITE]]&amp;"-"&amp;GUIDE[[#This Row],[TVGID]]</f>
        <v>cubmu.com-CNNIndonesia.id@SD</v>
      </c>
      <c r="B18" t="s">
        <v>912</v>
      </c>
      <c r="C18" s="3" t="s">
        <v>959</v>
      </c>
      <c r="D18" t="s">
        <v>939</v>
      </c>
      <c r="E18" t="s">
        <v>525</v>
      </c>
      <c r="F18" t="s">
        <v>35</v>
      </c>
    </row>
    <row r="19" spans="1:6" x14ac:dyDescent="0.55000000000000004">
      <c r="A19" s="4" t="str">
        <f>GUIDE[[#This Row],[SITE]]&amp;"-"&amp;GUIDE[[#This Row],[TVGID]]</f>
        <v>cubmu.com-DAAITV.id@SD</v>
      </c>
      <c r="B19" t="s">
        <v>912</v>
      </c>
      <c r="C19" s="3" t="s">
        <v>960</v>
      </c>
      <c r="D19" t="s">
        <v>939</v>
      </c>
      <c r="E19" t="s">
        <v>540</v>
      </c>
      <c r="F19" t="s">
        <v>729</v>
      </c>
    </row>
    <row r="20" spans="1:6" x14ac:dyDescent="0.55000000000000004">
      <c r="A20" s="4" t="str">
        <f>GUIDE[[#This Row],[SITE]]&amp;"-"&amp;GUIDE[[#This Row],[TVGID]]</f>
        <v>cubmu.com-DaystarTV.us@SD</v>
      </c>
      <c r="B20" t="s">
        <v>912</v>
      </c>
      <c r="C20" s="3" t="s">
        <v>961</v>
      </c>
      <c r="D20" t="s">
        <v>939</v>
      </c>
      <c r="E20" t="s">
        <v>962</v>
      </c>
      <c r="F20" t="s">
        <v>963</v>
      </c>
    </row>
    <row r="21" spans="1:6" x14ac:dyDescent="0.55000000000000004">
      <c r="A21" s="4" t="str">
        <f>GUIDE[[#This Row],[SITE]]&amp;"-"&amp;GUIDE[[#This Row],[TVGID]]</f>
        <v>cubmu.com-DensFoodChannel.id@SD</v>
      </c>
      <c r="B21" t="s">
        <v>912</v>
      </c>
      <c r="C21" s="3" t="s">
        <v>964</v>
      </c>
      <c r="D21" t="s">
        <v>939</v>
      </c>
      <c r="E21" t="s">
        <v>965</v>
      </c>
      <c r="F21" t="s">
        <v>966</v>
      </c>
    </row>
    <row r="22" spans="1:6" x14ac:dyDescent="0.55000000000000004">
      <c r="A22" s="4" t="str">
        <f>GUIDE[[#This Row],[SITE]]&amp;"-"&amp;GUIDE[[#This Row],[TVGID]]</f>
        <v>cubmu.com-DensPlay.id@SD</v>
      </c>
      <c r="B22" t="s">
        <v>912</v>
      </c>
      <c r="C22" s="3" t="s">
        <v>967</v>
      </c>
      <c r="D22" t="s">
        <v>939</v>
      </c>
      <c r="E22" t="s">
        <v>968</v>
      </c>
      <c r="F22" t="s">
        <v>969</v>
      </c>
    </row>
    <row r="23" spans="1:6" x14ac:dyDescent="0.55000000000000004">
      <c r="A23" s="4" t="str">
        <f>GUIDE[[#This Row],[SITE]]&amp;"-"&amp;GUIDE[[#This Row],[TVGID]]</f>
        <v>cubmu.com-DensShowBiz.id@SD</v>
      </c>
      <c r="B23" t="s">
        <v>912</v>
      </c>
      <c r="C23" s="3" t="s">
        <v>970</v>
      </c>
      <c r="D23" t="s">
        <v>939</v>
      </c>
      <c r="E23" t="s">
        <v>971</v>
      </c>
      <c r="F23" t="s">
        <v>972</v>
      </c>
    </row>
    <row r="24" spans="1:6" x14ac:dyDescent="0.55000000000000004">
      <c r="A24" s="4" t="str">
        <f>GUIDE[[#This Row],[SITE]]&amp;"-"&amp;GUIDE[[#This Row],[TVGID]]</f>
        <v>cubmu.com-DuniaAnak.id@SD</v>
      </c>
      <c r="B24" t="s">
        <v>912</v>
      </c>
      <c r="C24" s="3" t="s">
        <v>973</v>
      </c>
      <c r="D24" t="s">
        <v>939</v>
      </c>
      <c r="E24" t="s">
        <v>565</v>
      </c>
      <c r="F24" t="s">
        <v>737</v>
      </c>
    </row>
    <row r="25" spans="1:6" x14ac:dyDescent="0.55000000000000004">
      <c r="A25" s="4" t="str">
        <f>GUIDE[[#This Row],[SITE]]&amp;"-"&amp;GUIDE[[#This Row],[TVGID]]</f>
        <v>cubmu.com-DuniaLain.id@SD</v>
      </c>
      <c r="B25" t="s">
        <v>912</v>
      </c>
      <c r="C25" s="3" t="s">
        <v>974</v>
      </c>
      <c r="D25" t="s">
        <v>939</v>
      </c>
      <c r="E25" t="s">
        <v>589</v>
      </c>
      <c r="F25" t="s">
        <v>63</v>
      </c>
    </row>
    <row r="26" spans="1:6" x14ac:dyDescent="0.55000000000000004">
      <c r="A26" s="4" t="str">
        <f>GUIDE[[#This Row],[SITE]]&amp;"-"&amp;GUIDE[[#This Row],[TVGID]]</f>
        <v>cubmu.com-EatNGo.id@SD</v>
      </c>
      <c r="B26" t="s">
        <v>912</v>
      </c>
      <c r="C26" s="3" t="s">
        <v>975</v>
      </c>
      <c r="D26" t="s">
        <v>939</v>
      </c>
      <c r="E26" t="s">
        <v>570</v>
      </c>
      <c r="F26" t="s">
        <v>976</v>
      </c>
    </row>
    <row r="27" spans="1:6" x14ac:dyDescent="0.55000000000000004">
      <c r="A27" s="4" t="str">
        <f>GUIDE[[#This Row],[SITE]]&amp;"-"&amp;GUIDE[[#This Row],[TVGID]]</f>
        <v>cubmu.com-EuronewsEnglish.fr@SD</v>
      </c>
      <c r="B27" t="s">
        <v>912</v>
      </c>
      <c r="C27" s="3" t="s">
        <v>977</v>
      </c>
      <c r="D27" t="s">
        <v>939</v>
      </c>
      <c r="E27" t="s">
        <v>625</v>
      </c>
      <c r="F27" t="s">
        <v>77</v>
      </c>
    </row>
    <row r="28" spans="1:6" x14ac:dyDescent="0.55000000000000004">
      <c r="A28" s="4" t="str">
        <f>GUIDE[[#This Row],[SITE]]&amp;"-"&amp;GUIDE[[#This Row],[TVGID]]</f>
        <v>cubmu.com-FashionTVAsia.fr@SD</v>
      </c>
      <c r="B28" t="s">
        <v>912</v>
      </c>
      <c r="C28" s="3" t="s">
        <v>978</v>
      </c>
      <c r="D28" t="s">
        <v>939</v>
      </c>
      <c r="E28" t="s">
        <v>571</v>
      </c>
      <c r="F28" t="s">
        <v>743</v>
      </c>
    </row>
    <row r="29" spans="1:6" x14ac:dyDescent="0.55000000000000004">
      <c r="A29" s="4" t="str">
        <f>GUIDE[[#This Row],[SITE]]&amp;"-"&amp;GUIDE[[#This Row],[TVGID]]</f>
        <v>cubmu.com-Fight.us@SD</v>
      </c>
      <c r="B29" t="s">
        <v>912</v>
      </c>
      <c r="C29" s="3" t="s">
        <v>979</v>
      </c>
      <c r="D29" t="s">
        <v>939</v>
      </c>
      <c r="E29" t="s">
        <v>980</v>
      </c>
      <c r="F29" t="s">
        <v>981</v>
      </c>
    </row>
    <row r="30" spans="1:6" x14ac:dyDescent="0.55000000000000004">
      <c r="A30" s="4" t="str">
        <f>GUIDE[[#This Row],[SITE]]&amp;"-"&amp;GUIDE[[#This Row],[TVGID]]</f>
        <v>cubmu.com-France24.fr@English</v>
      </c>
      <c r="B30" t="s">
        <v>912</v>
      </c>
      <c r="C30" s="3" t="s">
        <v>982</v>
      </c>
      <c r="D30" t="s">
        <v>939</v>
      </c>
      <c r="E30" t="s">
        <v>375</v>
      </c>
      <c r="F30" t="s">
        <v>78</v>
      </c>
    </row>
    <row r="31" spans="1:6" x14ac:dyDescent="0.55000000000000004">
      <c r="A31" s="4" t="str">
        <f>GUIDE[[#This Row],[SITE]]&amp;"-"&amp;GUIDE[[#This Row],[TVGID]]</f>
        <v>cubmu.com-GarudaTV.id@SD</v>
      </c>
      <c r="B31" t="s">
        <v>912</v>
      </c>
      <c r="C31" s="3" t="s">
        <v>983</v>
      </c>
      <c r="D31" t="s">
        <v>939</v>
      </c>
      <c r="E31" t="s">
        <v>533</v>
      </c>
      <c r="F31" t="s">
        <v>369</v>
      </c>
    </row>
    <row r="32" spans="1:6" x14ac:dyDescent="0.55000000000000004">
      <c r="A32" s="4" t="str">
        <f>GUIDE[[#This Row],[SITE]]&amp;"-"&amp;GUIDE[[#This Row],[TVGID]]</f>
        <v>cubmu.com-GTV.id@SD</v>
      </c>
      <c r="B32" t="s">
        <v>912</v>
      </c>
      <c r="C32" s="3" t="s">
        <v>984</v>
      </c>
      <c r="D32" t="s">
        <v>939</v>
      </c>
      <c r="E32" t="s">
        <v>640</v>
      </c>
      <c r="F32" t="s">
        <v>498</v>
      </c>
    </row>
    <row r="33" spans="1:6" x14ac:dyDescent="0.55000000000000004">
      <c r="A33" s="4" t="str">
        <f>GUIDE[[#This Row],[SITE]]&amp;"-"&amp;GUIDE[[#This Row],[TVGID]]</f>
        <v>cubmu.com-Indosiar.id@SD</v>
      </c>
      <c r="B33" t="s">
        <v>912</v>
      </c>
      <c r="C33" s="3" t="s">
        <v>985</v>
      </c>
      <c r="D33" t="s">
        <v>939</v>
      </c>
      <c r="E33" t="s">
        <v>532</v>
      </c>
      <c r="F33" t="s">
        <v>84</v>
      </c>
    </row>
    <row r="34" spans="1:6" x14ac:dyDescent="0.55000000000000004">
      <c r="A34" s="4" t="str">
        <f>GUIDE[[#This Row],[SITE]]&amp;"-"&amp;GUIDE[[#This Row],[TVGID]]</f>
        <v>cubmu.com-JakTV.id@SD</v>
      </c>
      <c r="B34" t="s">
        <v>912</v>
      </c>
      <c r="C34" s="3" t="s">
        <v>986</v>
      </c>
      <c r="D34" t="s">
        <v>939</v>
      </c>
      <c r="E34" t="s">
        <v>536</v>
      </c>
      <c r="F34" t="s">
        <v>187</v>
      </c>
    </row>
    <row r="35" spans="1:6" x14ac:dyDescent="0.55000000000000004">
      <c r="A35" s="4" t="str">
        <f>GUIDE[[#This Row],[SITE]]&amp;"-"&amp;GUIDE[[#This Row],[TVGID]]</f>
        <v>cubmu.com-JTV.id@SD</v>
      </c>
      <c r="B35" t="s">
        <v>912</v>
      </c>
      <c r="C35" s="3" t="s">
        <v>987</v>
      </c>
      <c r="D35" t="s">
        <v>939</v>
      </c>
      <c r="E35" t="s">
        <v>543</v>
      </c>
      <c r="F35" t="s">
        <v>188</v>
      </c>
    </row>
    <row r="36" spans="1:6" x14ac:dyDescent="0.55000000000000004">
      <c r="A36" s="4" t="str">
        <f>GUIDE[[#This Row],[SITE]]&amp;"-"&amp;GUIDE[[#This Row],[TVGID]]</f>
        <v>cubmu.com-Khazanah.id@SD</v>
      </c>
      <c r="B36" t="s">
        <v>912</v>
      </c>
      <c r="C36" s="3" t="s">
        <v>988</v>
      </c>
      <c r="D36" t="s">
        <v>939</v>
      </c>
      <c r="E36" t="s">
        <v>989</v>
      </c>
      <c r="F36" t="s">
        <v>990</v>
      </c>
    </row>
    <row r="37" spans="1:6" x14ac:dyDescent="0.55000000000000004">
      <c r="A37" s="4" t="str">
        <f>GUIDE[[#This Row],[SITE]]&amp;"-"&amp;GUIDE[[#This Row],[TVGID]]</f>
        <v>cubmu.com-KompasTV.id@SD</v>
      </c>
      <c r="B37" t="s">
        <v>912</v>
      </c>
      <c r="C37" s="3" t="s">
        <v>991</v>
      </c>
      <c r="D37" t="s">
        <v>939</v>
      </c>
      <c r="E37" t="s">
        <v>534</v>
      </c>
      <c r="F37" t="s">
        <v>85</v>
      </c>
    </row>
    <row r="38" spans="1:6" x14ac:dyDescent="0.55000000000000004">
      <c r="A38" s="4" t="str">
        <f>GUIDE[[#This Row],[SITE]]&amp;"-"&amp;GUIDE[[#This Row],[TVGID]]</f>
        <v>cubmu.com-MDTV.id@HD</v>
      </c>
      <c r="B38" t="s">
        <v>912</v>
      </c>
      <c r="C38" s="3" t="s">
        <v>992</v>
      </c>
      <c r="D38" t="s">
        <v>939</v>
      </c>
      <c r="E38" t="s">
        <v>924</v>
      </c>
      <c r="F38" t="s">
        <v>366</v>
      </c>
    </row>
    <row r="39" spans="1:6" x14ac:dyDescent="0.55000000000000004">
      <c r="A39" s="4" t="str">
        <f>GUIDE[[#This Row],[SITE]]&amp;"-"&amp;GUIDE[[#This Row],[TVGID]]</f>
        <v>cubmu.com-MetroTV.id@SD</v>
      </c>
      <c r="B39" t="s">
        <v>912</v>
      </c>
      <c r="C39" s="3" t="s">
        <v>993</v>
      </c>
      <c r="D39" t="s">
        <v>939</v>
      </c>
      <c r="E39" t="s">
        <v>523</v>
      </c>
      <c r="F39" t="s">
        <v>994</v>
      </c>
    </row>
    <row r="40" spans="1:6" x14ac:dyDescent="0.55000000000000004">
      <c r="A40" s="4" t="str">
        <f>GUIDE[[#This Row],[SITE]]&amp;"-"&amp;GUIDE[[#This Row],[TVGID]]</f>
        <v>cubmu.com-MNCTV.id@SD</v>
      </c>
      <c r="B40" t="s">
        <v>912</v>
      </c>
      <c r="C40" s="3" t="s">
        <v>995</v>
      </c>
      <c r="D40" t="s">
        <v>939</v>
      </c>
      <c r="E40" t="s">
        <v>649</v>
      </c>
      <c r="F40" t="s">
        <v>800</v>
      </c>
    </row>
    <row r="41" spans="1:6" x14ac:dyDescent="0.55000000000000004">
      <c r="A41" s="4" t="str">
        <f>GUIDE[[#This Row],[SITE]]&amp;"-"&amp;GUIDE[[#This Row],[TVGID]]</f>
        <v>cubmu.com-MusikIndonesia.id@SD</v>
      </c>
      <c r="B41" t="s">
        <v>912</v>
      </c>
      <c r="C41" s="3" t="s">
        <v>996</v>
      </c>
      <c r="D41" t="s">
        <v>939</v>
      </c>
      <c r="E41" t="s">
        <v>573</v>
      </c>
      <c r="F41" t="s">
        <v>93</v>
      </c>
    </row>
    <row r="42" spans="1:6" x14ac:dyDescent="0.55000000000000004">
      <c r="A42" s="4" t="str">
        <f>GUIDE[[#This Row],[SITE]]&amp;"-"&amp;GUIDE[[#This Row],[TVGID]]</f>
        <v>cubmu.com-NabawiTV.id@SD</v>
      </c>
      <c r="B42" t="s">
        <v>912</v>
      </c>
      <c r="C42" s="3" t="s">
        <v>997</v>
      </c>
      <c r="D42" t="s">
        <v>939</v>
      </c>
      <c r="E42" t="s">
        <v>998</v>
      </c>
      <c r="F42" t="s">
        <v>999</v>
      </c>
    </row>
    <row r="43" spans="1:6" x14ac:dyDescent="0.55000000000000004">
      <c r="A43" s="4" t="str">
        <f>GUIDE[[#This Row],[SITE]]&amp;"-"&amp;GUIDE[[#This Row],[TVGID]]</f>
        <v>cubmu.com-NHKWorldPremium.jp@SD</v>
      </c>
      <c r="B43" t="s">
        <v>912</v>
      </c>
      <c r="C43" s="3" t="s">
        <v>1000</v>
      </c>
      <c r="D43" t="s">
        <v>939</v>
      </c>
      <c r="E43" t="s">
        <v>587</v>
      </c>
      <c r="F43" t="s">
        <v>1001</v>
      </c>
    </row>
    <row r="44" spans="1:6" x14ac:dyDescent="0.55000000000000004">
      <c r="A44" s="4" t="str">
        <f>GUIDE[[#This Row],[SITE]]&amp;"-"&amp;GUIDE[[#This Row],[TVGID]]</f>
        <v>cubmu.com-nsert.id@SD</v>
      </c>
      <c r="B44" t="s">
        <v>912</v>
      </c>
      <c r="C44" s="3" t="s">
        <v>1002</v>
      </c>
      <c r="D44" t="s">
        <v>939</v>
      </c>
      <c r="E44" t="s">
        <v>577</v>
      </c>
      <c r="F44" t="s">
        <v>1003</v>
      </c>
    </row>
    <row r="45" spans="1:6" x14ac:dyDescent="0.55000000000000004">
      <c r="A45" s="4" t="str">
        <f>GUIDE[[#This Row],[SITE]]&amp;"-"&amp;GUIDE[[#This Row],[TVGID]]</f>
        <v>cubmu.com-OneTV.in@SD</v>
      </c>
      <c r="B45" t="s">
        <v>912</v>
      </c>
      <c r="C45" s="3" t="s">
        <v>1004</v>
      </c>
      <c r="D45" t="s">
        <v>939</v>
      </c>
      <c r="E45" t="s">
        <v>1005</v>
      </c>
      <c r="F45" t="s">
        <v>1006</v>
      </c>
    </row>
    <row r="46" spans="1:6" x14ac:dyDescent="0.55000000000000004">
      <c r="A46" s="4" t="str">
        <f>GUIDE[[#This Row],[SITE]]&amp;"-"&amp;GUIDE[[#This Row],[TVGID]]</f>
        <v>cubmu.com-PijarTV.id@SD</v>
      </c>
      <c r="B46" t="s">
        <v>912</v>
      </c>
      <c r="C46" s="3" t="s">
        <v>1007</v>
      </c>
      <c r="D46" t="s">
        <v>939</v>
      </c>
      <c r="E46" t="s">
        <v>1008</v>
      </c>
      <c r="F46" t="s">
        <v>1009</v>
      </c>
    </row>
    <row r="47" spans="1:6" x14ac:dyDescent="0.55000000000000004">
      <c r="A47" s="4" t="str">
        <f>GUIDE[[#This Row],[SITE]]&amp;"-"&amp;GUIDE[[#This Row],[TVGID]]</f>
        <v>cubmu.com-PSJTV.id@SD</v>
      </c>
      <c r="B47" t="s">
        <v>912</v>
      </c>
      <c r="C47" s="3" t="s">
        <v>1010</v>
      </c>
      <c r="D47" t="s">
        <v>939</v>
      </c>
      <c r="E47" t="s">
        <v>1011</v>
      </c>
      <c r="F47" t="s">
        <v>1012</v>
      </c>
    </row>
    <row r="48" spans="1:6" x14ac:dyDescent="0.55000000000000004">
      <c r="A48" s="4" t="str">
        <f>GUIDE[[#This Row],[SITE]]&amp;"-"&amp;GUIDE[[#This Row],[TVGID]]</f>
        <v>cubmu.com-RajawaliTV.id@SD</v>
      </c>
      <c r="B48" t="s">
        <v>912</v>
      </c>
      <c r="C48" s="3" t="s">
        <v>1013</v>
      </c>
      <c r="D48" t="s">
        <v>939</v>
      </c>
      <c r="E48" t="s">
        <v>538</v>
      </c>
      <c r="F48" t="s">
        <v>1014</v>
      </c>
    </row>
    <row r="49" spans="1:6" x14ac:dyDescent="0.55000000000000004">
      <c r="A49" s="4" t="str">
        <f>GUIDE[[#This Row],[SITE]]&amp;"-"&amp;GUIDE[[#This Row],[TVGID]]</f>
        <v>cubmu.com-RCTI.id@SD</v>
      </c>
      <c r="B49" t="s">
        <v>912</v>
      </c>
      <c r="C49" s="3" t="s">
        <v>1015</v>
      </c>
      <c r="D49" t="s">
        <v>939</v>
      </c>
      <c r="E49" t="s">
        <v>639</v>
      </c>
      <c r="F49" t="s">
        <v>511</v>
      </c>
    </row>
    <row r="50" spans="1:6" x14ac:dyDescent="0.55000000000000004">
      <c r="A50" s="4" t="str">
        <f>GUIDE[[#This Row],[SITE]]&amp;"-"&amp;GUIDE[[#This Row],[TVGID]]</f>
        <v>cubmu.com-RT.ru@SD</v>
      </c>
      <c r="B50" t="s">
        <v>912</v>
      </c>
      <c r="C50" s="3" t="s">
        <v>1016</v>
      </c>
      <c r="D50" t="s">
        <v>939</v>
      </c>
      <c r="E50" t="s">
        <v>654</v>
      </c>
      <c r="F50" t="s">
        <v>473</v>
      </c>
    </row>
    <row r="51" spans="1:6" x14ac:dyDescent="0.55000000000000004">
      <c r="A51" s="4" t="str">
        <f>GUIDE[[#This Row],[SITE]]&amp;"-"&amp;GUIDE[[#This Row],[TVGID]]</f>
        <v>cubmu.com-SCTV.id@SD</v>
      </c>
      <c r="B51" t="s">
        <v>912</v>
      </c>
      <c r="C51" s="3" t="s">
        <v>1017</v>
      </c>
      <c r="D51" t="s">
        <v>939</v>
      </c>
      <c r="E51" t="s">
        <v>530</v>
      </c>
      <c r="F51" t="s">
        <v>38</v>
      </c>
    </row>
    <row r="52" spans="1:6" x14ac:dyDescent="0.55000000000000004">
      <c r="A52" s="4" t="str">
        <f>GUIDE[[#This Row],[SITE]]&amp;"-"&amp;GUIDE[[#This Row],[TVGID]]</f>
        <v>cubmu.com-SuperyachtTV.mc@SD</v>
      </c>
      <c r="B52" t="s">
        <v>912</v>
      </c>
      <c r="C52" s="3" t="s">
        <v>1018</v>
      </c>
      <c r="D52" t="s">
        <v>939</v>
      </c>
      <c r="E52" t="s">
        <v>1019</v>
      </c>
      <c r="F52" t="s">
        <v>1020</v>
      </c>
    </row>
    <row r="53" spans="1:6" x14ac:dyDescent="0.55000000000000004">
      <c r="A53" s="4" t="str">
        <f>GUIDE[[#This Row],[SITE]]&amp;"-"&amp;GUIDE[[#This Row],[TVGID]]</f>
        <v>cubmu.com-Thrill.hk@SD</v>
      </c>
      <c r="B53" t="s">
        <v>912</v>
      </c>
      <c r="C53" s="3" t="s">
        <v>1021</v>
      </c>
      <c r="D53" t="s">
        <v>939</v>
      </c>
      <c r="E53" t="s">
        <v>604</v>
      </c>
      <c r="F53" t="s">
        <v>70</v>
      </c>
    </row>
    <row r="54" spans="1:6" x14ac:dyDescent="0.55000000000000004">
      <c r="A54" s="4" t="str">
        <f>GUIDE[[#This Row],[SITE]]&amp;"-"&amp;GUIDE[[#This Row],[TVGID]]</f>
        <v>cubmu.com-Trans7.id@SD</v>
      </c>
      <c r="B54" t="s">
        <v>912</v>
      </c>
      <c r="C54" s="3" t="s">
        <v>1022</v>
      </c>
      <c r="D54" t="s">
        <v>939</v>
      </c>
      <c r="E54" t="s">
        <v>528</v>
      </c>
      <c r="F54" t="s">
        <v>1023</v>
      </c>
    </row>
    <row r="55" spans="1:6" x14ac:dyDescent="0.55000000000000004">
      <c r="A55" s="4" t="str">
        <f>GUIDE[[#This Row],[SITE]]&amp;"-"&amp;GUIDE[[#This Row],[TVGID]]</f>
        <v>cubmu.com-TransTV.id@SD</v>
      </c>
      <c r="B55" t="s">
        <v>912</v>
      </c>
      <c r="C55" s="3" t="s">
        <v>1024</v>
      </c>
      <c r="D55" t="s">
        <v>939</v>
      </c>
      <c r="E55" t="s">
        <v>527</v>
      </c>
      <c r="F55" t="s">
        <v>853</v>
      </c>
    </row>
    <row r="56" spans="1:6" x14ac:dyDescent="0.55000000000000004">
      <c r="A56" s="4" t="str">
        <f>GUIDE[[#This Row],[SITE]]&amp;"-"&amp;GUIDE[[#This Row],[TVGID]]</f>
        <v>cubmu.com-TV5MondeAsia.fr@SD</v>
      </c>
      <c r="B56" t="s">
        <v>912</v>
      </c>
      <c r="C56" s="3" t="s">
        <v>1025</v>
      </c>
      <c r="D56" t="s">
        <v>939</v>
      </c>
      <c r="E56" t="s">
        <v>582</v>
      </c>
      <c r="F56" t="s">
        <v>1026</v>
      </c>
    </row>
    <row r="57" spans="1:6" x14ac:dyDescent="0.55000000000000004">
      <c r="A57" s="4" t="str">
        <f>GUIDE[[#This Row],[SITE]]&amp;"-"&amp;GUIDE[[#This Row],[TVGID]]</f>
        <v>cubmu.com-TV9Nusantara.id@SD</v>
      </c>
      <c r="B57" t="s">
        <v>912</v>
      </c>
      <c r="C57" s="3" t="s">
        <v>1027</v>
      </c>
      <c r="D57" t="s">
        <v>939</v>
      </c>
      <c r="E57" t="s">
        <v>635</v>
      </c>
      <c r="F57" t="s">
        <v>862</v>
      </c>
    </row>
    <row r="58" spans="1:6" x14ac:dyDescent="0.55000000000000004">
      <c r="A58" s="4" t="str">
        <f>GUIDE[[#This Row],[SITE]]&amp;"-"&amp;GUIDE[[#This Row],[TVGID]]</f>
        <v>cubmu.com-TVMu.id@SD</v>
      </c>
      <c r="B58" t="s">
        <v>912</v>
      </c>
      <c r="C58" s="3" t="s">
        <v>1028</v>
      </c>
      <c r="D58" t="s">
        <v>939</v>
      </c>
      <c r="E58" t="s">
        <v>636</v>
      </c>
      <c r="F58" t="s">
        <v>1029</v>
      </c>
    </row>
    <row r="59" spans="1:6" x14ac:dyDescent="0.55000000000000004">
      <c r="A59" s="4" t="str">
        <f>GUIDE[[#This Row],[SITE]]&amp;"-"&amp;GUIDE[[#This Row],[TVGID]]</f>
        <v>cubmu.com-tvNAsia.hk@SD</v>
      </c>
      <c r="B59" t="s">
        <v>912</v>
      </c>
      <c r="C59" s="3" t="s">
        <v>1030</v>
      </c>
      <c r="D59" t="s">
        <v>939</v>
      </c>
      <c r="E59" t="s">
        <v>584</v>
      </c>
      <c r="F59" t="s">
        <v>1031</v>
      </c>
    </row>
    <row r="60" spans="1:6" x14ac:dyDescent="0.55000000000000004">
      <c r="A60" s="4" t="str">
        <f>GUIDE[[#This Row],[SITE]]&amp;"-"&amp;GUIDE[[#This Row],[TVGID]]</f>
        <v>cubmu.com-tvNMoviesAsia.hk@SD</v>
      </c>
      <c r="B60" t="s">
        <v>912</v>
      </c>
      <c r="C60" s="3" t="s">
        <v>1032</v>
      </c>
      <c r="D60" t="s">
        <v>939</v>
      </c>
      <c r="E60" t="s">
        <v>606</v>
      </c>
      <c r="F60" t="s">
        <v>221</v>
      </c>
    </row>
    <row r="61" spans="1:6" x14ac:dyDescent="0.55000000000000004">
      <c r="A61" s="4" t="str">
        <f>GUIDE[[#This Row],[SITE]]&amp;"-"&amp;GUIDE[[#This Row],[TVGID]]</f>
        <v>cubmu.com-tvOne.id@SD</v>
      </c>
      <c r="B61" t="s">
        <v>912</v>
      </c>
      <c r="C61" s="3" t="s">
        <v>1033</v>
      </c>
      <c r="D61" t="s">
        <v>939</v>
      </c>
      <c r="E61" t="s">
        <v>526</v>
      </c>
      <c r="F61" t="s">
        <v>1034</v>
      </c>
    </row>
    <row r="62" spans="1:6" x14ac:dyDescent="0.55000000000000004">
      <c r="A62" s="4" t="str">
        <f>GUIDE[[#This Row],[SITE]]&amp;"-"&amp;GUIDE[[#This Row],[TVGID]]</f>
        <v>cubmu.com-TVRI.id@SD</v>
      </c>
      <c r="B62" t="s">
        <v>912</v>
      </c>
      <c r="C62" s="3" t="s">
        <v>1035</v>
      </c>
      <c r="D62" t="s">
        <v>939</v>
      </c>
      <c r="E62" t="s">
        <v>522</v>
      </c>
      <c r="F62" t="s">
        <v>83</v>
      </c>
    </row>
    <row r="63" spans="1:6" x14ac:dyDescent="0.55000000000000004">
      <c r="A63" s="4" t="str">
        <f>GUIDE[[#This Row],[SITE]]&amp;"-"&amp;GUIDE[[#This Row],[TVGID]]</f>
        <v>cubmu.com-WION.in@SD</v>
      </c>
      <c r="B63" t="s">
        <v>912</v>
      </c>
      <c r="C63" s="3" t="s">
        <v>1036</v>
      </c>
      <c r="D63" t="s">
        <v>939</v>
      </c>
      <c r="E63" t="s">
        <v>1037</v>
      </c>
      <c r="F63" t="s">
        <v>1038</v>
      </c>
    </row>
    <row r="64" spans="1:6" x14ac:dyDescent="0.55000000000000004">
      <c r="A64" s="4" t="str">
        <f>GUIDE[[#This Row],[SITE]]&amp;"-"&amp;GUIDE[[#This Row],[TVGID]]</f>
        <v>dens.tv-AlJazeera.qa@Arabic</v>
      </c>
      <c r="B64" t="s">
        <v>913</v>
      </c>
      <c r="C64" s="3" t="s">
        <v>1039</v>
      </c>
      <c r="D64" t="s">
        <v>939</v>
      </c>
      <c r="E64" t="s">
        <v>641</v>
      </c>
      <c r="F64" t="s">
        <v>1040</v>
      </c>
    </row>
    <row r="65" spans="1:6" x14ac:dyDescent="0.55000000000000004">
      <c r="A65" s="4" t="str">
        <f>GUIDE[[#This Row],[SITE]]&amp;"-"&amp;GUIDE[[#This Row],[TVGID]]</f>
        <v>dens.tv-AlJazeera.qa@English</v>
      </c>
      <c r="B65" t="s">
        <v>913</v>
      </c>
      <c r="C65" s="3" t="s">
        <v>1041</v>
      </c>
      <c r="D65" t="s">
        <v>939</v>
      </c>
      <c r="E65" t="s">
        <v>1042</v>
      </c>
      <c r="F65" t="s">
        <v>1043</v>
      </c>
    </row>
    <row r="66" spans="1:6" x14ac:dyDescent="0.55000000000000004">
      <c r="A66" s="4" t="str">
        <f>GUIDE[[#This Row],[SITE]]&amp;"-"&amp;GUIDE[[#This Row],[TVGID]]</f>
        <v>dens.tv-AlQuranAlKareemTV.sa@SD</v>
      </c>
      <c r="B66" t="s">
        <v>913</v>
      </c>
      <c r="C66" s="3" t="s">
        <v>1044</v>
      </c>
      <c r="D66" t="s">
        <v>939</v>
      </c>
      <c r="E66" t="s">
        <v>914</v>
      </c>
      <c r="F66" t="s">
        <v>1045</v>
      </c>
    </row>
    <row r="67" spans="1:6" x14ac:dyDescent="0.55000000000000004">
      <c r="A67" s="4" t="str">
        <f>GUIDE[[#This Row],[SITE]]&amp;"-"&amp;GUIDE[[#This Row],[TVGID]]</f>
        <v>dens.tv-AlSunnahAlNabawiyahTV.sa@SD</v>
      </c>
      <c r="B67" t="s">
        <v>913</v>
      </c>
      <c r="C67" s="3" t="s">
        <v>1046</v>
      </c>
      <c r="D67" t="s">
        <v>939</v>
      </c>
      <c r="E67" t="s">
        <v>1047</v>
      </c>
      <c r="F67" t="s">
        <v>1048</v>
      </c>
    </row>
    <row r="68" spans="1:6" x14ac:dyDescent="0.55000000000000004">
      <c r="A68" s="4" t="str">
        <f>GUIDE[[#This Row],[SITE]]&amp;"-"&amp;GUIDE[[#This Row],[TVGID]]</f>
        <v>dens.tv-BeritaSatu.id@SD</v>
      </c>
      <c r="B68" t="s">
        <v>913</v>
      </c>
      <c r="C68" s="3" t="s">
        <v>1049</v>
      </c>
      <c r="D68" t="s">
        <v>939</v>
      </c>
      <c r="E68" t="s">
        <v>537</v>
      </c>
      <c r="F68" t="s">
        <v>695</v>
      </c>
    </row>
    <row r="69" spans="1:6" x14ac:dyDescent="0.55000000000000004">
      <c r="A69" s="4" t="str">
        <f>GUIDE[[#This Row],[SITE]]&amp;"-"&amp;GUIDE[[#This Row],[TVGID]]</f>
        <v>dens.tv-BTV.id@SD</v>
      </c>
      <c r="B69" t="s">
        <v>913</v>
      </c>
      <c r="C69" s="3" t="s">
        <v>1050</v>
      </c>
      <c r="D69" t="s">
        <v>939</v>
      </c>
      <c r="E69" t="s">
        <v>535</v>
      </c>
      <c r="F69" t="s">
        <v>86</v>
      </c>
    </row>
    <row r="70" spans="1:6" x14ac:dyDescent="0.55000000000000004">
      <c r="A70" s="4" t="str">
        <f>GUIDE[[#This Row],[SITE]]&amp;"-"&amp;GUIDE[[#This Row],[TVGID]]</f>
        <v>dens.tv-CCTV4Asia.cn@SD</v>
      </c>
      <c r="B70" t="s">
        <v>913</v>
      </c>
      <c r="C70" s="3" t="s">
        <v>1051</v>
      </c>
      <c r="D70" t="s">
        <v>939</v>
      </c>
      <c r="E70" t="s">
        <v>592</v>
      </c>
      <c r="F70" t="s">
        <v>1052</v>
      </c>
    </row>
    <row r="71" spans="1:6" x14ac:dyDescent="0.55000000000000004">
      <c r="A71" s="4" t="str">
        <f>GUIDE[[#This Row],[SITE]]&amp;"-"&amp;GUIDE[[#This Row],[TVGID]]</f>
        <v>dens.tv-CGTNDocumentary.cn@SD</v>
      </c>
      <c r="B71" t="s">
        <v>913</v>
      </c>
      <c r="C71" s="3" t="s">
        <v>1053</v>
      </c>
      <c r="D71" t="s">
        <v>939</v>
      </c>
      <c r="E71" t="s">
        <v>555</v>
      </c>
      <c r="F71" t="s">
        <v>48</v>
      </c>
    </row>
    <row r="72" spans="1:6" x14ac:dyDescent="0.55000000000000004">
      <c r="A72" s="4" t="str">
        <f>GUIDE[[#This Row],[SITE]]&amp;"-"&amp;GUIDE[[#This Row],[TVGID]]</f>
        <v>dens.tv-ChannelJowo.id@SD</v>
      </c>
      <c r="B72" t="s">
        <v>913</v>
      </c>
      <c r="C72" s="3" t="s">
        <v>1054</v>
      </c>
      <c r="D72" t="s">
        <v>939</v>
      </c>
      <c r="E72" t="s">
        <v>551</v>
      </c>
      <c r="F72" t="s">
        <v>954</v>
      </c>
    </row>
    <row r="73" spans="1:6" x14ac:dyDescent="0.55000000000000004">
      <c r="A73" s="4" t="str">
        <f>GUIDE[[#This Row],[SITE]]&amp;"-"&amp;GUIDE[[#This Row],[TVGID]]</f>
        <v>dens.tv-CNA.sg@SD</v>
      </c>
      <c r="B73" t="s">
        <v>913</v>
      </c>
      <c r="C73" s="3" t="s">
        <v>1055</v>
      </c>
      <c r="D73" t="s">
        <v>939</v>
      </c>
      <c r="E73" t="s">
        <v>627</v>
      </c>
      <c r="F73" t="s">
        <v>719</v>
      </c>
    </row>
    <row r="74" spans="1:6" x14ac:dyDescent="0.55000000000000004">
      <c r="A74" s="4" t="str">
        <f>GUIDE[[#This Row],[SITE]]&amp;"-"&amp;GUIDE[[#This Row],[TVGID]]</f>
        <v>dens.tv-DAAITV.id@SD</v>
      </c>
      <c r="B74" t="s">
        <v>913</v>
      </c>
      <c r="C74" s="3" t="s">
        <v>1056</v>
      </c>
      <c r="D74" t="s">
        <v>939</v>
      </c>
      <c r="E74" t="s">
        <v>540</v>
      </c>
      <c r="F74" t="s">
        <v>729</v>
      </c>
    </row>
    <row r="75" spans="1:6" x14ac:dyDescent="0.55000000000000004">
      <c r="A75" s="4" t="str">
        <f>GUIDE[[#This Row],[SITE]]&amp;"-"&amp;GUIDE[[#This Row],[TVGID]]</f>
        <v>dens.tv-DanceTelevision.nl@SD</v>
      </c>
      <c r="B75" t="s">
        <v>913</v>
      </c>
      <c r="C75" s="3" t="s">
        <v>1057</v>
      </c>
      <c r="D75" t="s">
        <v>939</v>
      </c>
      <c r="E75" t="s">
        <v>1058</v>
      </c>
      <c r="F75" t="s">
        <v>1059</v>
      </c>
    </row>
    <row r="76" spans="1:6" x14ac:dyDescent="0.55000000000000004">
      <c r="A76" s="4" t="str">
        <f>GUIDE[[#This Row],[SITE]]&amp;"-"&amp;GUIDE[[#This Row],[TVGID]]</f>
        <v>dens.tv-DensFoodChannel.id@SD</v>
      </c>
      <c r="B76" t="s">
        <v>913</v>
      </c>
      <c r="C76" s="3" t="s">
        <v>1060</v>
      </c>
      <c r="D76" t="s">
        <v>939</v>
      </c>
      <c r="E76" t="s">
        <v>965</v>
      </c>
      <c r="F76" t="s">
        <v>1061</v>
      </c>
    </row>
    <row r="77" spans="1:6" x14ac:dyDescent="0.55000000000000004">
      <c r="A77" s="4" t="str">
        <f>GUIDE[[#This Row],[SITE]]&amp;"-"&amp;GUIDE[[#This Row],[TVGID]]</f>
        <v>dens.tv-DensKnowledge.id@SD</v>
      </c>
      <c r="B77" t="s">
        <v>913</v>
      </c>
      <c r="C77" s="3" t="s">
        <v>1062</v>
      </c>
      <c r="D77" t="s">
        <v>939</v>
      </c>
      <c r="E77" t="s">
        <v>1063</v>
      </c>
      <c r="F77" t="s">
        <v>1064</v>
      </c>
    </row>
    <row r="78" spans="1:6" x14ac:dyDescent="0.55000000000000004">
      <c r="A78" s="4" t="str">
        <f>GUIDE[[#This Row],[SITE]]&amp;"-"&amp;GUIDE[[#This Row],[TVGID]]</f>
        <v>dens.tv-DensLifeStyle.id@SD</v>
      </c>
      <c r="B78" t="s">
        <v>913</v>
      </c>
      <c r="C78" s="3" t="s">
        <v>1065</v>
      </c>
      <c r="D78" t="s">
        <v>939</v>
      </c>
      <c r="E78" t="s">
        <v>1066</v>
      </c>
      <c r="F78" t="s">
        <v>1067</v>
      </c>
    </row>
    <row r="79" spans="1:6" x14ac:dyDescent="0.55000000000000004">
      <c r="A79" s="4" t="str">
        <f>GUIDE[[#This Row],[SITE]]&amp;"-"&amp;GUIDE[[#This Row],[TVGID]]</f>
        <v>dens.tv-DensPlay.id@SD</v>
      </c>
      <c r="B79" t="s">
        <v>913</v>
      </c>
      <c r="C79" s="3" t="s">
        <v>1068</v>
      </c>
      <c r="D79" t="s">
        <v>939</v>
      </c>
      <c r="E79" t="s">
        <v>968</v>
      </c>
      <c r="F79" t="s">
        <v>1069</v>
      </c>
    </row>
    <row r="80" spans="1:6" x14ac:dyDescent="0.55000000000000004">
      <c r="A80" s="4" t="str">
        <f>GUIDE[[#This Row],[SITE]]&amp;"-"&amp;GUIDE[[#This Row],[TVGID]]</f>
        <v>dens.tv-DensShowBiz.id@SD</v>
      </c>
      <c r="B80" t="s">
        <v>913</v>
      </c>
      <c r="C80" s="3" t="s">
        <v>1070</v>
      </c>
      <c r="D80" t="s">
        <v>939</v>
      </c>
      <c r="E80" t="s">
        <v>971</v>
      </c>
      <c r="F80" t="s">
        <v>1071</v>
      </c>
    </row>
    <row r="81" spans="1:6" x14ac:dyDescent="0.55000000000000004">
      <c r="A81" s="4" t="str">
        <f>GUIDE[[#This Row],[SITE]]&amp;"-"&amp;GUIDE[[#This Row],[TVGID]]</f>
        <v>dens.tv-DIM.ua@SD</v>
      </c>
      <c r="B81" t="s">
        <v>913</v>
      </c>
      <c r="C81" s="3" t="s">
        <v>1072</v>
      </c>
      <c r="D81" t="s">
        <v>939</v>
      </c>
      <c r="E81" t="s">
        <v>1073</v>
      </c>
      <c r="F81" t="s">
        <v>1074</v>
      </c>
    </row>
    <row r="82" spans="1:6" x14ac:dyDescent="0.55000000000000004">
      <c r="A82" s="4" t="str">
        <f>GUIDE[[#This Row],[SITE]]&amp;"-"&amp;GUIDE[[#This Row],[TVGID]]</f>
        <v>dens.tv-DW.de@English</v>
      </c>
      <c r="B82" t="s">
        <v>913</v>
      </c>
      <c r="C82" s="3" t="s">
        <v>1075</v>
      </c>
      <c r="D82" t="s">
        <v>939</v>
      </c>
      <c r="E82" t="s">
        <v>376</v>
      </c>
      <c r="F82" t="s">
        <v>1076</v>
      </c>
    </row>
    <row r="83" spans="1:6" x14ac:dyDescent="0.55000000000000004">
      <c r="A83" s="4" t="str">
        <f>GUIDE[[#This Row],[SITE]]&amp;"-"&amp;GUIDE[[#This Row],[TVGID]]</f>
        <v>dens.tv-ElshintaTV.id@SD</v>
      </c>
      <c r="B83" t="s">
        <v>913</v>
      </c>
      <c r="C83" s="3" t="s">
        <v>1077</v>
      </c>
      <c r="D83" t="s">
        <v>939</v>
      </c>
      <c r="E83" t="s">
        <v>1078</v>
      </c>
      <c r="F83" t="s">
        <v>1079</v>
      </c>
    </row>
    <row r="84" spans="1:6" x14ac:dyDescent="0.55000000000000004">
      <c r="A84" s="4" t="str">
        <f>GUIDE[[#This Row],[SITE]]&amp;"-"&amp;GUIDE[[#This Row],[TVGID]]</f>
        <v>dens.tv-France24.fr@English</v>
      </c>
      <c r="B84" t="s">
        <v>913</v>
      </c>
      <c r="C84" s="3" t="s">
        <v>1080</v>
      </c>
      <c r="D84" t="s">
        <v>939</v>
      </c>
      <c r="E84" t="s">
        <v>375</v>
      </c>
      <c r="F84" t="s">
        <v>78</v>
      </c>
    </row>
    <row r="85" spans="1:6" x14ac:dyDescent="0.55000000000000004">
      <c r="A85" s="4" t="str">
        <f>GUIDE[[#This Row],[SITE]]&amp;"-"&amp;GUIDE[[#This Row],[TVGID]]</f>
        <v>dens.tv-FREEDOM.ua@SD</v>
      </c>
      <c r="B85" t="s">
        <v>913</v>
      </c>
      <c r="C85" s="3" t="s">
        <v>1081</v>
      </c>
      <c r="D85" t="s">
        <v>939</v>
      </c>
      <c r="E85" t="s">
        <v>1082</v>
      </c>
      <c r="F85" t="s">
        <v>1083</v>
      </c>
    </row>
    <row r="86" spans="1:6" x14ac:dyDescent="0.55000000000000004">
      <c r="A86" s="4" t="str">
        <f>GUIDE[[#This Row],[SITE]]&amp;"-"&amp;GUIDE[[#This Row],[TVGID]]</f>
        <v>dens.tv-JakTV.id@SD</v>
      </c>
      <c r="B86" t="s">
        <v>913</v>
      </c>
      <c r="C86" s="3" t="s">
        <v>1084</v>
      </c>
      <c r="D86" t="s">
        <v>939</v>
      </c>
      <c r="E86" t="s">
        <v>536</v>
      </c>
      <c r="F86" t="s">
        <v>1085</v>
      </c>
    </row>
    <row r="87" spans="1:6" x14ac:dyDescent="0.55000000000000004">
      <c r="A87" s="4" t="str">
        <f>GUIDE[[#This Row],[SITE]]&amp;"-"&amp;GUIDE[[#This Row],[TVGID]]</f>
        <v>dens.tv-MagnaChannel.id@SD</v>
      </c>
      <c r="B87" t="s">
        <v>913</v>
      </c>
      <c r="C87" s="3" t="s">
        <v>1086</v>
      </c>
      <c r="D87" t="s">
        <v>939</v>
      </c>
      <c r="E87" t="s">
        <v>1087</v>
      </c>
      <c r="F87" t="s">
        <v>1088</v>
      </c>
    </row>
    <row r="88" spans="1:6" x14ac:dyDescent="0.55000000000000004">
      <c r="A88" s="4" t="str">
        <f>GUIDE[[#This Row],[SITE]]&amp;"-"&amp;GUIDE[[#This Row],[TVGID]]</f>
        <v>dens.tv-MDTV.id@HD</v>
      </c>
      <c r="B88" t="s">
        <v>913</v>
      </c>
      <c r="C88" s="3" t="s">
        <v>1089</v>
      </c>
      <c r="D88" t="s">
        <v>939</v>
      </c>
      <c r="E88" t="s">
        <v>924</v>
      </c>
      <c r="F88" t="s">
        <v>366</v>
      </c>
    </row>
    <row r="89" spans="1:6" x14ac:dyDescent="0.55000000000000004">
      <c r="A89" s="4" t="str">
        <f>GUIDE[[#This Row],[SITE]]&amp;"-"&amp;GUIDE[[#This Row],[TVGID]]</f>
        <v>dens.tv-MetroTV.id@SD</v>
      </c>
      <c r="B89" t="s">
        <v>913</v>
      </c>
      <c r="C89" s="3" t="s">
        <v>1090</v>
      </c>
      <c r="D89" t="s">
        <v>939</v>
      </c>
      <c r="E89" t="s">
        <v>523</v>
      </c>
      <c r="F89" t="s">
        <v>34</v>
      </c>
    </row>
    <row r="90" spans="1:6" x14ac:dyDescent="0.55000000000000004">
      <c r="A90" s="4" t="str">
        <f>GUIDE[[#This Row],[SITE]]&amp;"-"&amp;GUIDE[[#This Row],[TVGID]]</f>
        <v>dens.tv-Motorvision.de@SD</v>
      </c>
      <c r="B90" t="s">
        <v>913</v>
      </c>
      <c r="C90" s="3" t="s">
        <v>1091</v>
      </c>
      <c r="D90" t="s">
        <v>939</v>
      </c>
      <c r="E90" t="s">
        <v>1092</v>
      </c>
      <c r="F90" t="s">
        <v>1093</v>
      </c>
    </row>
    <row r="91" spans="1:6" x14ac:dyDescent="0.55000000000000004">
      <c r="A91" s="4" t="str">
        <f>GUIDE[[#This Row],[SITE]]&amp;"-"&amp;GUIDE[[#This Row],[TVGID]]</f>
        <v>dens.tv-MyCinemaEurope.ch@SD</v>
      </c>
      <c r="B91" t="s">
        <v>913</v>
      </c>
      <c r="C91" s="3" t="s">
        <v>1094</v>
      </c>
      <c r="D91" t="s">
        <v>939</v>
      </c>
      <c r="E91" t="s">
        <v>1095</v>
      </c>
      <c r="F91" t="s">
        <v>1096</v>
      </c>
    </row>
    <row r="92" spans="1:6" x14ac:dyDescent="0.55000000000000004">
      <c r="A92" s="4" t="str">
        <f>GUIDE[[#This Row],[SITE]]&amp;"-"&amp;GUIDE[[#This Row],[TVGID]]</f>
        <v>dens.tv-NHKWorldJapan.jp@SD</v>
      </c>
      <c r="B92" t="s">
        <v>913</v>
      </c>
      <c r="C92" s="3" t="s">
        <v>1097</v>
      </c>
      <c r="D92" t="s">
        <v>939</v>
      </c>
      <c r="E92" t="s">
        <v>628</v>
      </c>
      <c r="F92" t="s">
        <v>1098</v>
      </c>
    </row>
    <row r="93" spans="1:6" x14ac:dyDescent="0.55000000000000004">
      <c r="A93" s="4" t="str">
        <f>GUIDE[[#This Row],[SITE]]&amp;"-"&amp;GUIDE[[#This Row],[TVGID]]</f>
        <v>dens.tv-NusantaraTV.id@SD</v>
      </c>
      <c r="B93" t="s">
        <v>913</v>
      </c>
      <c r="C93" s="3" t="s">
        <v>1099</v>
      </c>
      <c r="D93" t="s">
        <v>939</v>
      </c>
      <c r="E93" t="s">
        <v>546</v>
      </c>
      <c r="F93" t="s">
        <v>1100</v>
      </c>
    </row>
    <row r="94" spans="1:6" x14ac:dyDescent="0.55000000000000004">
      <c r="A94" s="4" t="str">
        <f>GUIDE[[#This Row],[SITE]]&amp;"-"&amp;GUIDE[[#This Row],[TVGID]]</f>
        <v>dens.tv-QwestTV.fr@SD</v>
      </c>
      <c r="B94" t="s">
        <v>913</v>
      </c>
      <c r="C94" s="3" t="s">
        <v>1101</v>
      </c>
      <c r="D94" t="s">
        <v>939</v>
      </c>
      <c r="E94" t="s">
        <v>1102</v>
      </c>
      <c r="F94" t="s">
        <v>1103</v>
      </c>
    </row>
    <row r="95" spans="1:6" x14ac:dyDescent="0.55000000000000004">
      <c r="A95" s="4" t="str">
        <f>GUIDE[[#This Row],[SITE]]&amp;"-"&amp;GUIDE[[#This Row],[TVGID]]</f>
        <v>dens.tv-RajawaliTV.id@SD</v>
      </c>
      <c r="B95" t="s">
        <v>913</v>
      </c>
      <c r="C95" s="3" t="s">
        <v>1104</v>
      </c>
      <c r="D95" t="s">
        <v>939</v>
      </c>
      <c r="E95" t="s">
        <v>538</v>
      </c>
      <c r="F95" t="s">
        <v>834</v>
      </c>
    </row>
    <row r="96" spans="1:6" x14ac:dyDescent="0.55000000000000004">
      <c r="A96" s="4" t="str">
        <f>GUIDE[[#This Row],[SITE]]&amp;"-"&amp;GUIDE[[#This Row],[TVGID]]</f>
        <v>dens.tv-RodjaTV.id@SD</v>
      </c>
      <c r="B96" t="s">
        <v>913</v>
      </c>
      <c r="C96" s="3" t="s">
        <v>1105</v>
      </c>
      <c r="D96" t="s">
        <v>939</v>
      </c>
      <c r="E96" t="s">
        <v>632</v>
      </c>
      <c r="F96" t="s">
        <v>1106</v>
      </c>
    </row>
    <row r="97" spans="1:6" x14ac:dyDescent="0.55000000000000004">
      <c r="A97" s="4" t="str">
        <f>GUIDE[[#This Row],[SITE]]&amp;"-"&amp;GUIDE[[#This Row],[TVGID]]</f>
        <v>dens.tv-RT.ru@SD</v>
      </c>
      <c r="B97" t="s">
        <v>913</v>
      </c>
      <c r="C97" s="3" t="s">
        <v>1107</v>
      </c>
      <c r="D97" t="s">
        <v>939</v>
      </c>
      <c r="E97" t="s">
        <v>654</v>
      </c>
      <c r="F97" t="s">
        <v>1108</v>
      </c>
    </row>
    <row r="98" spans="1:6" x14ac:dyDescent="0.55000000000000004">
      <c r="A98" s="4" t="str">
        <f>GUIDE[[#This Row],[SITE]]&amp;"-"&amp;GUIDE[[#This Row],[TVGID]]</f>
        <v>dens.tv-StingrayClassica.ca@SD</v>
      </c>
      <c r="B98" t="s">
        <v>913</v>
      </c>
      <c r="C98" s="3" t="s">
        <v>1109</v>
      </c>
      <c r="D98" t="s">
        <v>939</v>
      </c>
      <c r="E98" t="s">
        <v>1110</v>
      </c>
      <c r="F98" t="s">
        <v>1111</v>
      </c>
    </row>
    <row r="99" spans="1:6" x14ac:dyDescent="0.55000000000000004">
      <c r="A99" s="4" t="str">
        <f>GUIDE[[#This Row],[SITE]]&amp;"-"&amp;GUIDE[[#This Row],[TVGID]]</f>
        <v>dens.tv-TBN.ru@SD</v>
      </c>
      <c r="B99" t="s">
        <v>913</v>
      </c>
      <c r="C99" s="3" t="s">
        <v>1112</v>
      </c>
      <c r="D99" t="s">
        <v>939</v>
      </c>
      <c r="E99" t="s">
        <v>1113</v>
      </c>
      <c r="F99" t="s">
        <v>1114</v>
      </c>
    </row>
    <row r="100" spans="1:6" x14ac:dyDescent="0.55000000000000004">
      <c r="A100" s="4" t="str">
        <f>GUIDE[[#This Row],[SITE]]&amp;"-"&amp;GUIDE[[#This Row],[TVGID]]</f>
        <v>dens.tv-TRTWorld.tr@SD</v>
      </c>
      <c r="B100" t="s">
        <v>913</v>
      </c>
      <c r="C100" s="3" t="s">
        <v>1115</v>
      </c>
      <c r="D100" t="s">
        <v>939</v>
      </c>
      <c r="E100" t="s">
        <v>630</v>
      </c>
      <c r="F100" t="s">
        <v>95</v>
      </c>
    </row>
    <row r="101" spans="1:6" x14ac:dyDescent="0.55000000000000004">
      <c r="A101" s="4" t="str">
        <f>GUIDE[[#This Row],[SITE]]&amp;"-"&amp;GUIDE[[#This Row],[TVGID]]</f>
        <v>dens.tv-TV5MondeAsia.fr@SD</v>
      </c>
      <c r="B101" t="s">
        <v>913</v>
      </c>
      <c r="C101" s="3" t="s">
        <v>1116</v>
      </c>
      <c r="D101" t="s">
        <v>939</v>
      </c>
      <c r="E101" t="s">
        <v>582</v>
      </c>
      <c r="F101" t="s">
        <v>1117</v>
      </c>
    </row>
    <row r="102" spans="1:6" x14ac:dyDescent="0.55000000000000004">
      <c r="A102" s="4" t="str">
        <f>GUIDE[[#This Row],[SITE]]&amp;"-"&amp;GUIDE[[#This Row],[TVGID]]</f>
        <v>dens.tv-TVRI.id@SD</v>
      </c>
      <c r="B102" t="s">
        <v>913</v>
      </c>
      <c r="C102" s="3" t="s">
        <v>1118</v>
      </c>
      <c r="D102" t="s">
        <v>939</v>
      </c>
      <c r="E102" t="s">
        <v>522</v>
      </c>
      <c r="F102" t="s">
        <v>83</v>
      </c>
    </row>
    <row r="103" spans="1:6" x14ac:dyDescent="0.55000000000000004">
      <c r="A103" s="4" t="str">
        <f>GUIDE[[#This Row],[SITE]]&amp;"-"&amp;GUIDE[[#This Row],[TVGID]]</f>
        <v>dens.tv-TVRISport.id@SD</v>
      </c>
      <c r="B103" t="s">
        <v>913</v>
      </c>
      <c r="C103" s="3" t="s">
        <v>1119</v>
      </c>
      <c r="D103" t="s">
        <v>939</v>
      </c>
      <c r="E103" t="s">
        <v>1120</v>
      </c>
      <c r="F103" t="s">
        <v>1121</v>
      </c>
    </row>
    <row r="104" spans="1:6" x14ac:dyDescent="0.55000000000000004">
      <c r="A104" s="4" t="str">
        <f>GUIDE[[#This Row],[SITE]]&amp;"-"&amp;GUIDE[[#This Row],[TVGID]]</f>
        <v>dens.tv-WION.in@SD</v>
      </c>
      <c r="B104" t="s">
        <v>913</v>
      </c>
      <c r="C104" s="3" t="s">
        <v>1122</v>
      </c>
      <c r="D104" t="s">
        <v>939</v>
      </c>
      <c r="E104" t="s">
        <v>1037</v>
      </c>
      <c r="F104" t="s">
        <v>1123</v>
      </c>
    </row>
    <row r="105" spans="1:6" x14ac:dyDescent="0.55000000000000004">
      <c r="A105" s="4" t="str">
        <f>GUIDE[[#This Row],[SITE]]&amp;"-"&amp;GUIDE[[#This Row],[TVGID]]</f>
        <v>maxstream.tv-ABCAustralia.au@SD</v>
      </c>
      <c r="B105" t="s">
        <v>934</v>
      </c>
      <c r="C105" s="3" t="s">
        <v>1124</v>
      </c>
      <c r="D105" t="s">
        <v>939</v>
      </c>
      <c r="E105" t="s">
        <v>590</v>
      </c>
      <c r="F105" t="s">
        <v>96</v>
      </c>
    </row>
    <row r="106" spans="1:6" x14ac:dyDescent="0.55000000000000004">
      <c r="A106" s="4" t="str">
        <f>GUIDE[[#This Row],[SITE]]&amp;"-"&amp;GUIDE[[#This Row],[TVGID]]</f>
        <v>maxstream.tv-AlJazeera.qa@Arabic</v>
      </c>
      <c r="B106" t="s">
        <v>934</v>
      </c>
      <c r="C106" s="3" t="s">
        <v>1125</v>
      </c>
      <c r="D106" t="s">
        <v>939</v>
      </c>
      <c r="E106" t="s">
        <v>641</v>
      </c>
      <c r="F106" t="s">
        <v>683</v>
      </c>
    </row>
    <row r="107" spans="1:6" x14ac:dyDescent="0.55000000000000004">
      <c r="A107" s="4" t="str">
        <f>GUIDE[[#This Row],[SITE]]&amp;"-"&amp;GUIDE[[#This Row],[TVGID]]</f>
        <v>maxstream.tv-AlQuranAlKareemTV.sa@SD</v>
      </c>
      <c r="B107" t="s">
        <v>934</v>
      </c>
      <c r="C107" s="3" t="s">
        <v>2288</v>
      </c>
      <c r="D107" t="s">
        <v>939</v>
      </c>
      <c r="E107" t="s">
        <v>914</v>
      </c>
      <c r="F107" t="s">
        <v>942</v>
      </c>
    </row>
    <row r="108" spans="1:6" x14ac:dyDescent="0.55000000000000004">
      <c r="A108" s="4" t="str">
        <f>GUIDE[[#This Row],[SITE]]&amp;"-"&amp;GUIDE[[#This Row],[TVGID]]</f>
        <v>maxstream.tv-AnimalPlanetSoutheastAsia.sg@SD</v>
      </c>
      <c r="B108" t="s">
        <v>934</v>
      </c>
      <c r="C108" s="3" t="s">
        <v>1126</v>
      </c>
      <c r="D108" t="s">
        <v>939</v>
      </c>
      <c r="E108" t="s">
        <v>553</v>
      </c>
      <c r="F108" t="s">
        <v>296</v>
      </c>
    </row>
    <row r="109" spans="1:6" x14ac:dyDescent="0.55000000000000004">
      <c r="A109" s="4" t="str">
        <f>GUIDE[[#This Row],[SITE]]&amp;"-"&amp;GUIDE[[#This Row],[TVGID]]</f>
        <v>maxstream.tv-AntaraTV.id@SD</v>
      </c>
      <c r="B109" t="s">
        <v>934</v>
      </c>
      <c r="C109" s="3" t="s">
        <v>1127</v>
      </c>
      <c r="D109" t="s">
        <v>939</v>
      </c>
      <c r="E109" t="s">
        <v>544</v>
      </c>
      <c r="F109" t="s">
        <v>688</v>
      </c>
    </row>
    <row r="110" spans="1:6" x14ac:dyDescent="0.55000000000000004">
      <c r="A110" s="4" t="str">
        <f>GUIDE[[#This Row],[SITE]]&amp;"-"&amp;GUIDE[[#This Row],[TVGID]]</f>
        <v>maxstream.tv-ArirangTV.kr@SD</v>
      </c>
      <c r="B110" t="s">
        <v>934</v>
      </c>
      <c r="C110" s="3" t="s">
        <v>1128</v>
      </c>
      <c r="D110" t="s">
        <v>939</v>
      </c>
      <c r="E110" t="s">
        <v>591</v>
      </c>
      <c r="F110" t="s">
        <v>94</v>
      </c>
    </row>
    <row r="111" spans="1:6" x14ac:dyDescent="0.55000000000000004">
      <c r="A111" s="4" t="str">
        <f>GUIDE[[#This Row],[SITE]]&amp;"-"&amp;GUIDE[[#This Row],[TVGID]]</f>
        <v>maxstream.tv-AsianFoodNetwork.sg@SD</v>
      </c>
      <c r="B111" t="s">
        <v>934</v>
      </c>
      <c r="C111" s="3" t="s">
        <v>1129</v>
      </c>
      <c r="D111" t="s">
        <v>939</v>
      </c>
      <c r="E111" t="s">
        <v>569</v>
      </c>
      <c r="F111" t="s">
        <v>681</v>
      </c>
    </row>
    <row r="112" spans="1:6" x14ac:dyDescent="0.55000000000000004">
      <c r="A112" s="4" t="str">
        <f>GUIDE[[#This Row],[SITE]]&amp;"-"&amp;GUIDE[[#This Row],[TVGID]]</f>
        <v>maxstream.tv-BBCNews.uk@AsiaPacific</v>
      </c>
      <c r="B112" t="s">
        <v>934</v>
      </c>
      <c r="C112" s="3" t="s">
        <v>1130</v>
      </c>
      <c r="D112" t="s">
        <v>939</v>
      </c>
      <c r="E112" t="s">
        <v>915</v>
      </c>
      <c r="F112" t="s">
        <v>644</v>
      </c>
    </row>
    <row r="113" spans="1:6" x14ac:dyDescent="0.55000000000000004">
      <c r="A113" s="4" t="str">
        <f>GUIDE[[#This Row],[SITE]]&amp;"-"&amp;GUIDE[[#This Row],[TVGID]]</f>
        <v>maxstream.tv-BeritaSatu.id@SD</v>
      </c>
      <c r="B113" t="s">
        <v>934</v>
      </c>
      <c r="C113" s="3" t="s">
        <v>1131</v>
      </c>
      <c r="D113" t="s">
        <v>939</v>
      </c>
      <c r="E113" t="s">
        <v>537</v>
      </c>
      <c r="F113" t="s">
        <v>695</v>
      </c>
    </row>
    <row r="114" spans="1:6" x14ac:dyDescent="0.55000000000000004">
      <c r="A114" s="4" t="str">
        <f>GUIDE[[#This Row],[SITE]]&amp;"-"&amp;GUIDE[[#This Row],[TVGID]]</f>
        <v>maxstream.tv-BioskopIndonesia.id@SD</v>
      </c>
      <c r="B114" t="s">
        <v>934</v>
      </c>
      <c r="C114" s="3" t="s">
        <v>1132</v>
      </c>
      <c r="D114" t="s">
        <v>939</v>
      </c>
      <c r="E114" t="s">
        <v>610</v>
      </c>
      <c r="F114" t="s">
        <v>72</v>
      </c>
    </row>
    <row r="115" spans="1:6" x14ac:dyDescent="0.55000000000000004">
      <c r="A115" s="4" t="str">
        <f>GUIDE[[#This Row],[SITE]]&amp;"-"&amp;GUIDE[[#This Row],[TVGID]]</f>
        <v>maxstream.tv-BTV.id@SD</v>
      </c>
      <c r="B115" t="s">
        <v>934</v>
      </c>
      <c r="C115" s="3" t="s">
        <v>1133</v>
      </c>
      <c r="D115" t="s">
        <v>939</v>
      </c>
      <c r="E115" t="s">
        <v>535</v>
      </c>
      <c r="F115" t="s">
        <v>86</v>
      </c>
    </row>
    <row r="116" spans="1:6" x14ac:dyDescent="0.55000000000000004">
      <c r="A116" s="4" t="str">
        <f>GUIDE[[#This Row],[SITE]]&amp;"-"&amp;GUIDE[[#This Row],[TVGID]]</f>
        <v>maxstream.tv-CartoonitoAsia.sg@SD</v>
      </c>
      <c r="B116" t="s">
        <v>934</v>
      </c>
      <c r="C116" s="3" t="s">
        <v>2289</v>
      </c>
      <c r="D116" t="s">
        <v>939</v>
      </c>
      <c r="E116" t="s">
        <v>2287</v>
      </c>
      <c r="F116" t="s">
        <v>291</v>
      </c>
    </row>
    <row r="117" spans="1:6" x14ac:dyDescent="0.55000000000000004">
      <c r="A117" s="4" t="str">
        <f>GUIDE[[#This Row],[SITE]]&amp;"-"&amp;GUIDE[[#This Row],[TVGID]]</f>
        <v>maxstream.tv-CartoonNetworkAsia.sg@SD</v>
      </c>
      <c r="B117" t="s">
        <v>934</v>
      </c>
      <c r="C117" s="3" t="s">
        <v>2290</v>
      </c>
      <c r="D117" t="s">
        <v>939</v>
      </c>
      <c r="E117" t="s">
        <v>563</v>
      </c>
      <c r="F117" t="s">
        <v>52</v>
      </c>
    </row>
    <row r="118" spans="1:6" x14ac:dyDescent="0.55000000000000004">
      <c r="A118" s="4" t="str">
        <f>GUIDE[[#This Row],[SITE]]&amp;"-"&amp;GUIDE[[#This Row],[TVGID]]</f>
        <v>maxstream.tv-CCTV4Asia.cn@SD</v>
      </c>
      <c r="B118" t="s">
        <v>934</v>
      </c>
      <c r="C118" s="3" t="s">
        <v>1134</v>
      </c>
      <c r="D118" t="s">
        <v>939</v>
      </c>
      <c r="E118" t="s">
        <v>592</v>
      </c>
      <c r="F118" t="s">
        <v>704</v>
      </c>
    </row>
    <row r="119" spans="1:6" x14ac:dyDescent="0.55000000000000004">
      <c r="A119" s="4" t="str">
        <f>GUIDE[[#This Row],[SITE]]&amp;"-"&amp;GUIDE[[#This Row],[TVGID]]</f>
        <v>maxstream.tv-CGTNDocumentary.cn@SD</v>
      </c>
      <c r="B119" t="s">
        <v>934</v>
      </c>
      <c r="C119" s="3" t="s">
        <v>1135</v>
      </c>
      <c r="D119" t="s">
        <v>939</v>
      </c>
      <c r="E119" t="s">
        <v>555</v>
      </c>
      <c r="F119" t="s">
        <v>48</v>
      </c>
    </row>
    <row r="120" spans="1:6" x14ac:dyDescent="0.55000000000000004">
      <c r="A120" s="4" t="str">
        <f>GUIDE[[#This Row],[SITE]]&amp;"-"&amp;GUIDE[[#This Row],[TVGID]]</f>
        <v>maxstream.tv-ChineseDrama.hk@SD</v>
      </c>
      <c r="B120" t="s">
        <v>934</v>
      </c>
      <c r="C120" s="3" t="s">
        <v>1136</v>
      </c>
      <c r="D120" t="s">
        <v>939</v>
      </c>
      <c r="E120" t="s">
        <v>597</v>
      </c>
      <c r="F120" t="s">
        <v>65</v>
      </c>
    </row>
    <row r="121" spans="1:6" x14ac:dyDescent="0.55000000000000004">
      <c r="A121" s="4" t="str">
        <f>GUIDE[[#This Row],[SITE]]&amp;"-"&amp;GUIDE[[#This Row],[TVGID]]</f>
        <v>maxstream.tv-CinemaWorld.my@SD</v>
      </c>
      <c r="B121" t="s">
        <v>934</v>
      </c>
      <c r="C121" s="3" t="s">
        <v>1137</v>
      </c>
      <c r="D121" t="s">
        <v>939</v>
      </c>
      <c r="E121" t="s">
        <v>608</v>
      </c>
      <c r="F121" t="s">
        <v>713</v>
      </c>
    </row>
    <row r="122" spans="1:6" x14ac:dyDescent="0.55000000000000004">
      <c r="A122" s="4" t="str">
        <f>GUIDE[[#This Row],[SITE]]&amp;"-"&amp;GUIDE[[#This Row],[TVGID]]</f>
        <v>maxstream.tv-CNA.sg@SD</v>
      </c>
      <c r="B122" t="s">
        <v>934</v>
      </c>
      <c r="C122" s="3" t="s">
        <v>1138</v>
      </c>
      <c r="D122" t="s">
        <v>939</v>
      </c>
      <c r="E122" t="s">
        <v>627</v>
      </c>
      <c r="F122" t="s">
        <v>719</v>
      </c>
    </row>
    <row r="123" spans="1:6" x14ac:dyDescent="0.55000000000000004">
      <c r="A123" s="4" t="str">
        <f>GUIDE[[#This Row],[SITE]]&amp;"-"&amp;GUIDE[[#This Row],[TVGID]]</f>
        <v>maxstream.tv-CNBCAsia.sg@SD</v>
      </c>
      <c r="B123" t="s">
        <v>934</v>
      </c>
      <c r="C123" s="3" t="s">
        <v>1139</v>
      </c>
      <c r="D123" t="s">
        <v>939</v>
      </c>
      <c r="E123" t="s">
        <v>626</v>
      </c>
      <c r="F123" t="s">
        <v>97</v>
      </c>
    </row>
    <row r="124" spans="1:6" x14ac:dyDescent="0.55000000000000004">
      <c r="A124" s="4" t="str">
        <f>GUIDE[[#This Row],[SITE]]&amp;"-"&amp;GUIDE[[#This Row],[TVGID]]</f>
        <v>maxstream.tv-CNBCIndonesia.id@SD</v>
      </c>
      <c r="B124" t="s">
        <v>934</v>
      </c>
      <c r="C124" s="3" t="s">
        <v>1140</v>
      </c>
      <c r="D124" t="s">
        <v>939</v>
      </c>
      <c r="E124" t="s">
        <v>550</v>
      </c>
      <c r="F124" t="s">
        <v>79</v>
      </c>
    </row>
    <row r="125" spans="1:6" x14ac:dyDescent="0.55000000000000004">
      <c r="A125" s="4" t="str">
        <f>GUIDE[[#This Row],[SITE]]&amp;"-"&amp;GUIDE[[#This Row],[TVGID]]</f>
        <v>maxstream.tv-CNNIndonesia.id@SD</v>
      </c>
      <c r="B125" t="s">
        <v>934</v>
      </c>
      <c r="C125" s="3" t="s">
        <v>1141</v>
      </c>
      <c r="D125" t="s">
        <v>939</v>
      </c>
      <c r="E125" t="s">
        <v>525</v>
      </c>
      <c r="F125" t="s">
        <v>35</v>
      </c>
    </row>
    <row r="126" spans="1:6" x14ac:dyDescent="0.55000000000000004">
      <c r="A126" s="4" t="str">
        <f>GUIDE[[#This Row],[SITE]]&amp;"-"&amp;GUIDE[[#This Row],[TVGID]]</f>
        <v>maxstream.tv-CNNInternational.us@AsiaPacific</v>
      </c>
      <c r="B126" t="s">
        <v>934</v>
      </c>
      <c r="C126" s="3" t="s">
        <v>1142</v>
      </c>
      <c r="D126" t="s">
        <v>939</v>
      </c>
      <c r="E126" t="s">
        <v>373</v>
      </c>
      <c r="F126" t="s">
        <v>237</v>
      </c>
    </row>
    <row r="127" spans="1:6" x14ac:dyDescent="0.55000000000000004">
      <c r="A127" s="4" t="str">
        <f>GUIDE[[#This Row],[SITE]]&amp;"-"&amp;GUIDE[[#This Row],[TVGID]]</f>
        <v>maxstream.tv-CuriosityChannel.us@SD</v>
      </c>
      <c r="B127" t="s">
        <v>934</v>
      </c>
      <c r="C127" s="3" t="s">
        <v>1143</v>
      </c>
      <c r="D127" t="s">
        <v>939</v>
      </c>
      <c r="E127" t="s">
        <v>552</v>
      </c>
      <c r="F127" t="s">
        <v>726</v>
      </c>
    </row>
    <row r="128" spans="1:6" x14ac:dyDescent="0.55000000000000004">
      <c r="A128" s="4" t="str">
        <f>GUIDE[[#This Row],[SITE]]&amp;"-"&amp;GUIDE[[#This Row],[TVGID]]</f>
        <v>maxstream.tv-DAAITV.id@SD</v>
      </c>
      <c r="B128" t="s">
        <v>934</v>
      </c>
      <c r="C128" s="3" t="s">
        <v>1144</v>
      </c>
      <c r="D128" t="s">
        <v>939</v>
      </c>
      <c r="E128" t="s">
        <v>540</v>
      </c>
      <c r="F128" t="s">
        <v>729</v>
      </c>
    </row>
    <row r="129" spans="1:6" x14ac:dyDescent="0.55000000000000004">
      <c r="A129" s="4" t="str">
        <f>GUIDE[[#This Row],[SITE]]&amp;"-"&amp;GUIDE[[#This Row],[TVGID]]</f>
        <v>maxstream.tv-DiscoveryAsia.sg@SD</v>
      </c>
      <c r="B129" t="s">
        <v>934</v>
      </c>
      <c r="C129" s="3" t="s">
        <v>1145</v>
      </c>
      <c r="D129" t="s">
        <v>939</v>
      </c>
      <c r="E129" t="s">
        <v>558</v>
      </c>
      <c r="F129" t="s">
        <v>294</v>
      </c>
    </row>
    <row r="130" spans="1:6" x14ac:dyDescent="0.55000000000000004">
      <c r="A130" s="4" t="str">
        <f>GUIDE[[#This Row],[SITE]]&amp;"-"&amp;GUIDE[[#This Row],[TVGID]]</f>
        <v>maxstream.tv-DiscoveryChannelSoutheastAsia.sg@SD</v>
      </c>
      <c r="B130" t="s">
        <v>934</v>
      </c>
      <c r="C130" s="3" t="s">
        <v>1146</v>
      </c>
      <c r="D130" t="s">
        <v>939</v>
      </c>
      <c r="E130" t="s">
        <v>921</v>
      </c>
      <c r="F130" t="s">
        <v>49</v>
      </c>
    </row>
    <row r="131" spans="1:6" x14ac:dyDescent="0.55000000000000004">
      <c r="A131" s="4" t="str">
        <f>GUIDE[[#This Row],[SITE]]&amp;"-"&amp;GUIDE[[#This Row],[TVGID]]</f>
        <v>maxstream.tv-DMITV.id@SD</v>
      </c>
      <c r="B131" t="s">
        <v>934</v>
      </c>
      <c r="C131" s="3" t="s">
        <v>1147</v>
      </c>
      <c r="D131" t="s">
        <v>939</v>
      </c>
      <c r="E131" t="s">
        <v>923</v>
      </c>
      <c r="F131" t="s">
        <v>371</v>
      </c>
    </row>
    <row r="132" spans="1:6" x14ac:dyDescent="0.55000000000000004">
      <c r="A132" s="4" t="str">
        <f>GUIDE[[#This Row],[SITE]]&amp;"-"&amp;GUIDE[[#This Row],[TVGID]]</f>
        <v>maxstream.tv-DreamWorksChannelAsia.us@SD</v>
      </c>
      <c r="B132" t="s">
        <v>934</v>
      </c>
      <c r="C132" s="3" t="s">
        <v>1148</v>
      </c>
      <c r="D132" t="s">
        <v>939</v>
      </c>
      <c r="E132" t="s">
        <v>564</v>
      </c>
      <c r="F132" t="s">
        <v>735</v>
      </c>
    </row>
    <row r="133" spans="1:6" x14ac:dyDescent="0.55000000000000004">
      <c r="A133" s="4" t="str">
        <f>GUIDE[[#This Row],[SITE]]&amp;"-"&amp;GUIDE[[#This Row],[TVGID]]</f>
        <v>maxstream.tv-DuniaAnak.id@SD</v>
      </c>
      <c r="B133" t="s">
        <v>934</v>
      </c>
      <c r="C133" s="3" t="s">
        <v>1149</v>
      </c>
      <c r="D133" t="s">
        <v>939</v>
      </c>
      <c r="E133" t="s">
        <v>565</v>
      </c>
      <c r="F133" t="s">
        <v>737</v>
      </c>
    </row>
    <row r="134" spans="1:6" x14ac:dyDescent="0.55000000000000004">
      <c r="A134" s="4" t="str">
        <f>GUIDE[[#This Row],[SITE]]&amp;"-"&amp;GUIDE[[#This Row],[TVGID]]</f>
        <v>maxstream.tv-DuniaLain.id@SD</v>
      </c>
      <c r="B134" t="s">
        <v>934</v>
      </c>
      <c r="C134" s="3" t="s">
        <v>1150</v>
      </c>
      <c r="D134" t="s">
        <v>939</v>
      </c>
      <c r="E134" t="s">
        <v>589</v>
      </c>
      <c r="F134" t="s">
        <v>63</v>
      </c>
    </row>
    <row r="135" spans="1:6" x14ac:dyDescent="0.55000000000000004">
      <c r="A135" s="4" t="str">
        <f>GUIDE[[#This Row],[SITE]]&amp;"-"&amp;GUIDE[[#This Row],[TVGID]]</f>
        <v>maxstream.tv-DW.de@English</v>
      </c>
      <c r="B135" t="s">
        <v>934</v>
      </c>
      <c r="C135" s="3" t="s">
        <v>1151</v>
      </c>
      <c r="D135" t="s">
        <v>939</v>
      </c>
      <c r="E135" t="s">
        <v>376</v>
      </c>
      <c r="F135" t="s">
        <v>740</v>
      </c>
    </row>
    <row r="136" spans="1:6" x14ac:dyDescent="0.55000000000000004">
      <c r="A136" s="4" t="str">
        <f>GUIDE[[#This Row],[SITE]]&amp;"-"&amp;GUIDE[[#This Row],[TVGID]]</f>
        <v>maxstream.tv-EuronewsEnglish.fr@SD</v>
      </c>
      <c r="B136" t="s">
        <v>934</v>
      </c>
      <c r="C136" s="3" t="s">
        <v>1152</v>
      </c>
      <c r="D136" t="s">
        <v>939</v>
      </c>
      <c r="E136" t="s">
        <v>625</v>
      </c>
      <c r="F136" t="s">
        <v>77</v>
      </c>
    </row>
    <row r="137" spans="1:6" x14ac:dyDescent="0.55000000000000004">
      <c r="A137" s="4" t="str">
        <f>GUIDE[[#This Row],[SITE]]&amp;"-"&amp;GUIDE[[#This Row],[TVGID]]</f>
        <v>maxstream.tv-FashionTVAsia.fr@SD</v>
      </c>
      <c r="B137" t="s">
        <v>934</v>
      </c>
      <c r="C137" s="3" t="s">
        <v>1153</v>
      </c>
      <c r="D137" t="s">
        <v>939</v>
      </c>
      <c r="E137" t="s">
        <v>571</v>
      </c>
      <c r="F137" t="s">
        <v>743</v>
      </c>
    </row>
    <row r="138" spans="1:6" x14ac:dyDescent="0.55000000000000004">
      <c r="A138" s="4" t="str">
        <f>GUIDE[[#This Row],[SITE]]&amp;"-"&amp;GUIDE[[#This Row],[TVGID]]</f>
        <v>maxstream.tv-FightSports.us@SD</v>
      </c>
      <c r="B138" t="s">
        <v>934</v>
      </c>
      <c r="C138" s="3" t="s">
        <v>1154</v>
      </c>
      <c r="D138" t="s">
        <v>939</v>
      </c>
      <c r="E138" t="s">
        <v>616</v>
      </c>
      <c r="F138" t="s">
        <v>745</v>
      </c>
    </row>
    <row r="139" spans="1:6" x14ac:dyDescent="0.55000000000000004">
      <c r="A139" s="4" t="str">
        <f>GUIDE[[#This Row],[SITE]]&amp;"-"&amp;GUIDE[[#This Row],[TVGID]]</f>
        <v>maxstream.tv-France24.fr@English</v>
      </c>
      <c r="B139" t="s">
        <v>934</v>
      </c>
      <c r="C139" s="3" t="s">
        <v>1155</v>
      </c>
      <c r="D139" t="s">
        <v>939</v>
      </c>
      <c r="E139" t="s">
        <v>375</v>
      </c>
      <c r="F139" t="s">
        <v>78</v>
      </c>
    </row>
    <row r="140" spans="1:6" x14ac:dyDescent="0.55000000000000004">
      <c r="A140" s="4" t="str">
        <f>GUIDE[[#This Row],[SITE]]&amp;"-"&amp;GUIDE[[#This Row],[TVGID]]</f>
        <v>maxstream.tv-Galaxy.id@SD</v>
      </c>
      <c r="B140" t="s">
        <v>934</v>
      </c>
      <c r="C140" s="3" t="s">
        <v>1156</v>
      </c>
      <c r="D140" t="s">
        <v>939</v>
      </c>
      <c r="E140" t="s">
        <v>609</v>
      </c>
      <c r="F140" t="s">
        <v>99</v>
      </c>
    </row>
    <row r="141" spans="1:6" x14ac:dyDescent="0.55000000000000004">
      <c r="A141" s="4" t="str">
        <f>GUIDE[[#This Row],[SITE]]&amp;"-"&amp;GUIDE[[#This Row],[TVGID]]</f>
        <v>maxstream.tv-GalaxyPremium.id@SD</v>
      </c>
      <c r="B141" t="s">
        <v>934</v>
      </c>
      <c r="C141" s="3" t="s">
        <v>1157</v>
      </c>
      <c r="D141" t="s">
        <v>939</v>
      </c>
      <c r="E141" t="s">
        <v>613</v>
      </c>
      <c r="F141" t="s">
        <v>75</v>
      </c>
    </row>
    <row r="142" spans="1:6" x14ac:dyDescent="0.55000000000000004">
      <c r="A142" s="4" t="str">
        <f>GUIDE[[#This Row],[SITE]]&amp;"-"&amp;GUIDE[[#This Row],[TVGID]]</f>
        <v>maxstream.tv-GTV.id@SD</v>
      </c>
      <c r="B142" t="s">
        <v>934</v>
      </c>
      <c r="C142" s="3" t="s">
        <v>1158</v>
      </c>
      <c r="D142" t="s">
        <v>939</v>
      </c>
      <c r="E142" t="s">
        <v>640</v>
      </c>
      <c r="F142" t="s">
        <v>498</v>
      </c>
    </row>
    <row r="143" spans="1:6" x14ac:dyDescent="0.55000000000000004">
      <c r="A143" s="4" t="str">
        <f>GUIDE[[#This Row],[SITE]]&amp;"-"&amp;GUIDE[[#This Row],[TVGID]]</f>
        <v>maxstream.tv-HGTVAsia.us@SD</v>
      </c>
      <c r="B143" t="s">
        <v>934</v>
      </c>
      <c r="C143" s="3" t="s">
        <v>1159</v>
      </c>
      <c r="D143" t="s">
        <v>939</v>
      </c>
      <c r="E143" t="s">
        <v>575</v>
      </c>
      <c r="F143" t="s">
        <v>55</v>
      </c>
    </row>
    <row r="144" spans="1:6" x14ac:dyDescent="0.55000000000000004">
      <c r="A144" s="4" t="str">
        <f>GUIDE[[#This Row],[SITE]]&amp;"-"&amp;GUIDE[[#This Row],[TVGID]]</f>
        <v>maxstream.tv-HITS.sg@SD</v>
      </c>
      <c r="B144" t="s">
        <v>934</v>
      </c>
      <c r="C144" s="3" t="s">
        <v>1160</v>
      </c>
      <c r="D144" t="s">
        <v>939</v>
      </c>
      <c r="E144" t="s">
        <v>580</v>
      </c>
      <c r="F144" t="s">
        <v>760</v>
      </c>
    </row>
    <row r="145" spans="1:6" x14ac:dyDescent="0.55000000000000004">
      <c r="A145" s="4" t="str">
        <f>GUIDE[[#This Row],[SITE]]&amp;"-"&amp;GUIDE[[#This Row],[TVGID]]</f>
        <v>maxstream.tv-HITSMovies.sg@SD</v>
      </c>
      <c r="B145" t="s">
        <v>934</v>
      </c>
      <c r="C145" s="3" t="s">
        <v>1161</v>
      </c>
      <c r="D145" t="s">
        <v>939</v>
      </c>
      <c r="E145" t="s">
        <v>603</v>
      </c>
      <c r="F145" t="s">
        <v>762</v>
      </c>
    </row>
    <row r="146" spans="1:6" x14ac:dyDescent="0.55000000000000004">
      <c r="A146" s="4" t="str">
        <f>GUIDE[[#This Row],[SITE]]&amp;"-"&amp;GUIDE[[#This Row],[TVGID]]</f>
        <v>maxstream.tv-HITSNOW.sg@SD</v>
      </c>
      <c r="B146" t="s">
        <v>934</v>
      </c>
      <c r="C146" s="3" t="s">
        <v>1162</v>
      </c>
      <c r="D146" t="s">
        <v>939</v>
      </c>
      <c r="E146" t="s">
        <v>642</v>
      </c>
      <c r="F146" t="s">
        <v>114</v>
      </c>
    </row>
    <row r="147" spans="1:6" x14ac:dyDescent="0.55000000000000004">
      <c r="A147" s="4" t="str">
        <f>GUIDE[[#This Row],[SITE]]&amp;"-"&amp;GUIDE[[#This Row],[TVGID]]</f>
        <v>maxstream.tv-IDXChannel.id@SD</v>
      </c>
      <c r="B147" t="s">
        <v>934</v>
      </c>
      <c r="C147" s="3" t="s">
        <v>1163</v>
      </c>
      <c r="D147" t="s">
        <v>939</v>
      </c>
      <c r="E147" t="s">
        <v>539</v>
      </c>
      <c r="F147" t="s">
        <v>767</v>
      </c>
    </row>
    <row r="148" spans="1:6" x14ac:dyDescent="0.55000000000000004">
      <c r="A148" s="4" t="str">
        <f>GUIDE[[#This Row],[SITE]]&amp;"-"&amp;GUIDE[[#This Row],[TVGID]]</f>
        <v>maxstream.tv-IMC.id@SD</v>
      </c>
      <c r="B148" t="s">
        <v>934</v>
      </c>
      <c r="C148" s="3" t="s">
        <v>1164</v>
      </c>
      <c r="D148" t="s">
        <v>939</v>
      </c>
      <c r="E148" t="s">
        <v>612</v>
      </c>
      <c r="F148" t="s">
        <v>74</v>
      </c>
    </row>
    <row r="149" spans="1:6" x14ac:dyDescent="0.55000000000000004">
      <c r="A149" s="4" t="str">
        <f>GUIDE[[#This Row],[SITE]]&amp;"-"&amp;GUIDE[[#This Row],[TVGID]]</f>
        <v>maxstream.tv-iNews.id@SD</v>
      </c>
      <c r="B149" t="s">
        <v>934</v>
      </c>
      <c r="C149" s="3" t="s">
        <v>1165</v>
      </c>
      <c r="D149" t="s">
        <v>939</v>
      </c>
      <c r="E149" t="s">
        <v>916</v>
      </c>
      <c r="F149" t="s">
        <v>771</v>
      </c>
    </row>
    <row r="150" spans="1:6" x14ac:dyDescent="0.55000000000000004">
      <c r="A150" s="4" t="str">
        <f>GUIDE[[#This Row],[SITE]]&amp;"-"&amp;GUIDE[[#This Row],[TVGID]]</f>
        <v>maxstream.tv-JakTV.id@SD</v>
      </c>
      <c r="B150" t="s">
        <v>934</v>
      </c>
      <c r="C150" s="3" t="s">
        <v>1166</v>
      </c>
      <c r="D150" t="s">
        <v>939</v>
      </c>
      <c r="E150" t="s">
        <v>536</v>
      </c>
      <c r="F150" t="s">
        <v>773</v>
      </c>
    </row>
    <row r="151" spans="1:6" x14ac:dyDescent="0.55000000000000004">
      <c r="A151" s="4" t="str">
        <f>GUIDE[[#This Row],[SITE]]&amp;"-"&amp;GUIDE[[#This Row],[TVGID]]</f>
        <v>maxstream.tv-JawaPosTV.id@SD</v>
      </c>
      <c r="B151" t="s">
        <v>934</v>
      </c>
      <c r="C151" s="3" t="s">
        <v>1167</v>
      </c>
      <c r="D151" t="s">
        <v>939</v>
      </c>
      <c r="E151" t="s">
        <v>548</v>
      </c>
      <c r="F151" t="s">
        <v>313</v>
      </c>
    </row>
    <row r="152" spans="1:6" x14ac:dyDescent="0.55000000000000004">
      <c r="A152" s="4" t="str">
        <f>GUIDE[[#This Row],[SITE]]&amp;"-"&amp;GUIDE[[#This Row],[TVGID]]</f>
        <v>maxstream.tv-KompasTV.id@SD</v>
      </c>
      <c r="B152" t="s">
        <v>934</v>
      </c>
      <c r="C152" s="3" t="s">
        <v>1168</v>
      </c>
      <c r="D152" t="s">
        <v>939</v>
      </c>
      <c r="E152" t="s">
        <v>534</v>
      </c>
      <c r="F152" t="s">
        <v>85</v>
      </c>
    </row>
    <row r="153" spans="1:6" x14ac:dyDescent="0.55000000000000004">
      <c r="A153" s="4" t="str">
        <f>GUIDE[[#This Row],[SITE]]&amp;"-"&amp;GUIDE[[#This Row],[TVGID]]</f>
        <v>maxstream.tv-MAXEats.id@SD</v>
      </c>
      <c r="B153" t="s">
        <v>934</v>
      </c>
      <c r="C153" s="3" t="s">
        <v>1169</v>
      </c>
      <c r="D153" t="s">
        <v>939</v>
      </c>
      <c r="E153" t="s">
        <v>675</v>
      </c>
      <c r="F153" t="s">
        <v>663</v>
      </c>
    </row>
    <row r="154" spans="1:6" x14ac:dyDescent="0.55000000000000004">
      <c r="A154" s="4" t="str">
        <f>GUIDE[[#This Row],[SITE]]&amp;"-"&amp;GUIDE[[#This Row],[TVGID]]</f>
        <v>maxstream.tv-MAXKids.id@SD</v>
      </c>
      <c r="B154" t="s">
        <v>934</v>
      </c>
      <c r="C154" s="3" t="s">
        <v>1170</v>
      </c>
      <c r="D154" t="s">
        <v>939</v>
      </c>
      <c r="E154" t="s">
        <v>677</v>
      </c>
      <c r="F154" t="s">
        <v>660</v>
      </c>
    </row>
    <row r="155" spans="1:6" x14ac:dyDescent="0.55000000000000004">
      <c r="A155" s="4" t="str">
        <f>GUIDE[[#This Row],[SITE]]&amp;"-"&amp;GUIDE[[#This Row],[TVGID]]</f>
        <v>maxstream.tv-MAXReels.id@SD</v>
      </c>
      <c r="B155" t="s">
        <v>934</v>
      </c>
      <c r="C155" s="3" t="s">
        <v>1171</v>
      </c>
      <c r="D155" t="s">
        <v>939</v>
      </c>
      <c r="E155" t="s">
        <v>676</v>
      </c>
      <c r="F155" t="s">
        <v>669</v>
      </c>
    </row>
    <row r="156" spans="1:6" x14ac:dyDescent="0.55000000000000004">
      <c r="A156" s="4" t="str">
        <f>GUIDE[[#This Row],[SITE]]&amp;"-"&amp;GUIDE[[#This Row],[TVGID]]</f>
        <v>maxstream.tv-MAXSports.id@SD</v>
      </c>
      <c r="B156" t="s">
        <v>934</v>
      </c>
      <c r="C156" s="3" t="s">
        <v>1172</v>
      </c>
      <c r="D156" t="s">
        <v>939</v>
      </c>
      <c r="E156" t="s">
        <v>678</v>
      </c>
      <c r="F156" t="s">
        <v>791</v>
      </c>
    </row>
    <row r="157" spans="1:6" x14ac:dyDescent="0.55000000000000004">
      <c r="A157" s="4" t="str">
        <f>GUIDE[[#This Row],[SITE]]&amp;"-"&amp;GUIDE[[#This Row],[TVGID]]</f>
        <v>maxstream.tv-MAXStreak.id@SD</v>
      </c>
      <c r="B157" t="s">
        <v>934</v>
      </c>
      <c r="C157" s="3" t="s">
        <v>1173</v>
      </c>
      <c r="D157" t="s">
        <v>939</v>
      </c>
      <c r="E157" t="s">
        <v>673</v>
      </c>
      <c r="F157" t="s">
        <v>666</v>
      </c>
    </row>
    <row r="158" spans="1:6" x14ac:dyDescent="0.55000000000000004">
      <c r="A158" s="4" t="str">
        <f>GUIDE[[#This Row],[SITE]]&amp;"-"&amp;GUIDE[[#This Row],[TVGID]]</f>
        <v>maxstream.tv-MAXStream.id@SD</v>
      </c>
      <c r="B158" t="s">
        <v>934</v>
      </c>
      <c r="C158" s="3" t="s">
        <v>1174</v>
      </c>
      <c r="D158" t="s">
        <v>939</v>
      </c>
      <c r="E158" t="s">
        <v>521</v>
      </c>
      <c r="F158" t="s">
        <v>794</v>
      </c>
    </row>
    <row r="159" spans="1:6" x14ac:dyDescent="0.55000000000000004">
      <c r="A159" s="4" t="str">
        <f>GUIDE[[#This Row],[SITE]]&amp;"-"&amp;GUIDE[[#This Row],[TVGID]]</f>
        <v>maxstream.tv-MetroTV.id@SD</v>
      </c>
      <c r="B159" t="s">
        <v>934</v>
      </c>
      <c r="C159" s="3" t="s">
        <v>1175</v>
      </c>
      <c r="D159" t="s">
        <v>939</v>
      </c>
      <c r="E159" t="s">
        <v>523</v>
      </c>
      <c r="F159" t="s">
        <v>34</v>
      </c>
    </row>
    <row r="160" spans="1:6" x14ac:dyDescent="0.55000000000000004">
      <c r="A160" s="4" t="str">
        <f>GUIDE[[#This Row],[SITE]]&amp;"-"&amp;GUIDE[[#This Row],[TVGID]]</f>
        <v>maxstream.tv-MNCTV.id@SD</v>
      </c>
      <c r="B160" t="s">
        <v>934</v>
      </c>
      <c r="C160" s="3" t="s">
        <v>1176</v>
      </c>
      <c r="D160" t="s">
        <v>939</v>
      </c>
      <c r="E160" t="s">
        <v>649</v>
      </c>
      <c r="F160" t="s">
        <v>800</v>
      </c>
    </row>
    <row r="161" spans="1:6" x14ac:dyDescent="0.55000000000000004">
      <c r="A161" s="4" t="str">
        <f>GUIDE[[#This Row],[SITE]]&amp;"-"&amp;GUIDE[[#This Row],[TVGID]]</f>
        <v>maxstream.tv-MoonbugKids.uk@SD</v>
      </c>
      <c r="B161" t="s">
        <v>934</v>
      </c>
      <c r="C161" s="3" t="s">
        <v>1177</v>
      </c>
      <c r="D161" t="s">
        <v>939</v>
      </c>
      <c r="E161" t="s">
        <v>658</v>
      </c>
      <c r="F161" t="s">
        <v>314</v>
      </c>
    </row>
    <row r="162" spans="1:6" x14ac:dyDescent="0.55000000000000004">
      <c r="A162" s="4" t="str">
        <f>GUIDE[[#This Row],[SITE]]&amp;"-"&amp;GUIDE[[#This Row],[TVGID]]</f>
        <v>maxstream.tv-MQTV.id@SD</v>
      </c>
      <c r="B162" t="s">
        <v>934</v>
      </c>
      <c r="C162" s="3" t="s">
        <v>1178</v>
      </c>
      <c r="D162" t="s">
        <v>939</v>
      </c>
      <c r="E162" t="s">
        <v>634</v>
      </c>
      <c r="F162" t="s">
        <v>82</v>
      </c>
    </row>
    <row r="163" spans="1:6" x14ac:dyDescent="0.55000000000000004">
      <c r="A163" s="4" t="str">
        <f>GUIDE[[#This Row],[SITE]]&amp;"-"&amp;GUIDE[[#This Row],[TVGID]]</f>
        <v>maxstream.tv-MTATV.id@SD</v>
      </c>
      <c r="B163" t="s">
        <v>934</v>
      </c>
      <c r="C163" s="3" t="s">
        <v>1179</v>
      </c>
      <c r="D163" t="s">
        <v>939</v>
      </c>
      <c r="E163" t="s">
        <v>633</v>
      </c>
      <c r="F163" t="s">
        <v>807</v>
      </c>
    </row>
    <row r="164" spans="1:6" x14ac:dyDescent="0.55000000000000004">
      <c r="A164" s="4" t="str">
        <f>GUIDE[[#This Row],[SITE]]&amp;"-"&amp;GUIDE[[#This Row],[TVGID]]</f>
        <v>maxstream.tv-MusikIndonesia.id@SD</v>
      </c>
      <c r="B164" t="s">
        <v>934</v>
      </c>
      <c r="C164" s="3" t="s">
        <v>1180</v>
      </c>
      <c r="D164" t="s">
        <v>939</v>
      </c>
      <c r="E164" t="s">
        <v>573</v>
      </c>
      <c r="F164" t="s">
        <v>93</v>
      </c>
    </row>
    <row r="165" spans="1:6" x14ac:dyDescent="0.55000000000000004">
      <c r="A165" s="4" t="str">
        <f>GUIDE[[#This Row],[SITE]]&amp;"-"&amp;GUIDE[[#This Row],[TVGID]]</f>
        <v>maxstream.tv-MyKidz.id@SD</v>
      </c>
      <c r="B165" t="s">
        <v>934</v>
      </c>
      <c r="C165" s="3" t="s">
        <v>1181</v>
      </c>
      <c r="D165" t="s">
        <v>939</v>
      </c>
      <c r="E165" t="s">
        <v>566</v>
      </c>
      <c r="F165" t="s">
        <v>810</v>
      </c>
    </row>
    <row r="166" spans="1:6" x14ac:dyDescent="0.55000000000000004">
      <c r="A166" s="4" t="str">
        <f>GUIDE[[#This Row],[SITE]]&amp;"-"&amp;GUIDE[[#This Row],[TVGID]]</f>
        <v>maxstream.tv-NewTVComprehensive.id@SD</v>
      </c>
      <c r="B166" t="s">
        <v>934</v>
      </c>
      <c r="C166" s="3" t="s">
        <v>1182</v>
      </c>
      <c r="D166" t="s">
        <v>939</v>
      </c>
      <c r="E166" t="s">
        <v>935</v>
      </c>
      <c r="F166" t="s">
        <v>812</v>
      </c>
    </row>
    <row r="167" spans="1:6" x14ac:dyDescent="0.55000000000000004">
      <c r="A167" s="4" t="str">
        <f>GUIDE[[#This Row],[SITE]]&amp;"-"&amp;GUIDE[[#This Row],[TVGID]]</f>
        <v>maxstream.tv-NewTVFinance.id@SD</v>
      </c>
      <c r="B167" t="s">
        <v>934</v>
      </c>
      <c r="C167" s="3" t="s">
        <v>1183</v>
      </c>
      <c r="D167" t="s">
        <v>939</v>
      </c>
      <c r="E167" t="s">
        <v>936</v>
      </c>
      <c r="F167" t="s">
        <v>814</v>
      </c>
    </row>
    <row r="168" spans="1:6" x14ac:dyDescent="0.55000000000000004">
      <c r="A168" s="4" t="str">
        <f>GUIDE[[#This Row],[SITE]]&amp;"-"&amp;GUIDE[[#This Row],[TVGID]]</f>
        <v>maxstream.tv-NewTVVariety.id@SD</v>
      </c>
      <c r="B168" t="s">
        <v>934</v>
      </c>
      <c r="C168" s="3" t="s">
        <v>1184</v>
      </c>
      <c r="D168" t="s">
        <v>939</v>
      </c>
      <c r="E168" t="s">
        <v>937</v>
      </c>
      <c r="F168" t="s">
        <v>816</v>
      </c>
    </row>
    <row r="169" spans="1:6" x14ac:dyDescent="0.55000000000000004">
      <c r="A169" s="4" t="str">
        <f>GUIDE[[#This Row],[SITE]]&amp;"-"&amp;GUIDE[[#This Row],[TVGID]]</f>
        <v>maxstream.tv-NHKWorldJapan.jp@SD</v>
      </c>
      <c r="B169" t="s">
        <v>934</v>
      </c>
      <c r="C169" s="3" t="s">
        <v>1185</v>
      </c>
      <c r="D169" t="s">
        <v>939</v>
      </c>
      <c r="E169" t="s">
        <v>628</v>
      </c>
      <c r="F169" t="s">
        <v>818</v>
      </c>
    </row>
    <row r="170" spans="1:6" x14ac:dyDescent="0.55000000000000004">
      <c r="A170" s="4" t="str">
        <f>GUIDE[[#This Row],[SITE]]&amp;"-"&amp;GUIDE[[#This Row],[TVGID]]</f>
        <v>maxstream.tv-NickelodeonAsia.sg@SD</v>
      </c>
      <c r="B170" t="s">
        <v>934</v>
      </c>
      <c r="C170" s="3" t="s">
        <v>1186</v>
      </c>
      <c r="D170" t="s">
        <v>939</v>
      </c>
      <c r="E170" t="s">
        <v>561</v>
      </c>
      <c r="F170" t="s">
        <v>51</v>
      </c>
    </row>
    <row r="171" spans="1:6" x14ac:dyDescent="0.55000000000000004">
      <c r="A171" s="4" t="str">
        <f>GUIDE[[#This Row],[SITE]]&amp;"-"&amp;GUIDE[[#This Row],[TVGID]]</f>
        <v>maxstream.tv-NickJrAsia.sg@SD</v>
      </c>
      <c r="B171" t="s">
        <v>934</v>
      </c>
      <c r="C171" s="3" t="s">
        <v>1187</v>
      </c>
      <c r="D171" t="s">
        <v>939</v>
      </c>
      <c r="E171" t="s">
        <v>562</v>
      </c>
      <c r="F171" t="s">
        <v>155</v>
      </c>
    </row>
    <row r="172" spans="1:6" x14ac:dyDescent="0.55000000000000004">
      <c r="A172" s="4" t="str">
        <f>GUIDE[[#This Row],[SITE]]&amp;"-"&amp;GUIDE[[#This Row],[TVGID]]</f>
        <v>maxstream.tv-PhoenixChineseChannel.hk@SD</v>
      </c>
      <c r="B172" t="s">
        <v>934</v>
      </c>
      <c r="C172" s="3" t="s">
        <v>1188</v>
      </c>
      <c r="D172" t="s">
        <v>939</v>
      </c>
      <c r="E172" t="s">
        <v>596</v>
      </c>
      <c r="F172" t="s">
        <v>316</v>
      </c>
    </row>
    <row r="173" spans="1:6" x14ac:dyDescent="0.55000000000000004">
      <c r="A173" s="4" t="str">
        <f>GUIDE[[#This Row],[SITE]]&amp;"-"&amp;GUIDE[[#This Row],[TVGID]]</f>
        <v>maxstream.tv-PhoenixInfoNewsChannel.hk@SD</v>
      </c>
      <c r="B173" t="s">
        <v>934</v>
      </c>
      <c r="C173" s="3" t="s">
        <v>1189</v>
      </c>
      <c r="D173" t="s">
        <v>939</v>
      </c>
      <c r="E173" t="s">
        <v>631</v>
      </c>
      <c r="F173" t="s">
        <v>826</v>
      </c>
    </row>
    <row r="174" spans="1:6" x14ac:dyDescent="0.55000000000000004">
      <c r="A174" s="4" t="str">
        <f>GUIDE[[#This Row],[SITE]]&amp;"-"&amp;GUIDE[[#This Row],[TVGID]]</f>
        <v>maxstream.tv-Prambors.id@SD</v>
      </c>
      <c r="B174" t="s">
        <v>934</v>
      </c>
      <c r="C174" s="3" t="s">
        <v>1190</v>
      </c>
      <c r="D174" t="s">
        <v>939</v>
      </c>
      <c r="E174" t="s">
        <v>574</v>
      </c>
      <c r="F174" t="s">
        <v>100</v>
      </c>
    </row>
    <row r="175" spans="1:6" x14ac:dyDescent="0.55000000000000004">
      <c r="A175" s="4" t="str">
        <f>GUIDE[[#This Row],[SITE]]&amp;"-"&amp;GUIDE[[#This Row],[TVGID]]</f>
        <v>maxstream.tv-RCTI.id@SD</v>
      </c>
      <c r="B175" t="s">
        <v>934</v>
      </c>
      <c r="C175" s="3" t="s">
        <v>1191</v>
      </c>
      <c r="D175" t="s">
        <v>939</v>
      </c>
      <c r="E175" t="s">
        <v>639</v>
      </c>
      <c r="F175" t="s">
        <v>511</v>
      </c>
    </row>
    <row r="176" spans="1:6" x14ac:dyDescent="0.55000000000000004">
      <c r="A176" s="4" t="str">
        <f>GUIDE[[#This Row],[SITE]]&amp;"-"&amp;GUIDE[[#This Row],[TVGID]]</f>
        <v>maxstream.tv-ROCKAction.sg@SD</v>
      </c>
      <c r="B176" t="s">
        <v>934</v>
      </c>
      <c r="C176" s="3" t="s">
        <v>1192</v>
      </c>
      <c r="D176" t="s">
        <v>939</v>
      </c>
      <c r="E176" t="s">
        <v>928</v>
      </c>
      <c r="F176" t="s">
        <v>56</v>
      </c>
    </row>
    <row r="177" spans="1:6" x14ac:dyDescent="0.55000000000000004">
      <c r="A177" s="4" t="str">
        <f>GUIDE[[#This Row],[SITE]]&amp;"-"&amp;GUIDE[[#This Row],[TVGID]]</f>
        <v>maxstream.tv-ROCKEntertainment.sg@SD</v>
      </c>
      <c r="B177" t="s">
        <v>934</v>
      </c>
      <c r="C177" s="3" t="s">
        <v>1193</v>
      </c>
      <c r="D177" t="s">
        <v>939</v>
      </c>
      <c r="E177" t="s">
        <v>583</v>
      </c>
      <c r="F177" t="s">
        <v>60</v>
      </c>
    </row>
    <row r="178" spans="1:6" x14ac:dyDescent="0.55000000000000004">
      <c r="A178" s="4" t="str">
        <f>GUIDE[[#This Row],[SITE]]&amp;"-"&amp;GUIDE[[#This Row],[TVGID]]</f>
        <v>maxstream.tv-RodjaTV.id@SD</v>
      </c>
      <c r="B178" t="s">
        <v>934</v>
      </c>
      <c r="C178" s="3" t="s">
        <v>1194</v>
      </c>
      <c r="D178" t="s">
        <v>939</v>
      </c>
      <c r="E178" t="s">
        <v>632</v>
      </c>
      <c r="F178" t="s">
        <v>80</v>
      </c>
    </row>
    <row r="179" spans="1:6" x14ac:dyDescent="0.55000000000000004">
      <c r="A179" s="4" t="str">
        <f>GUIDE[[#This Row],[SITE]]&amp;"-"&amp;GUIDE[[#This Row],[TVGID]]</f>
        <v>maxstream.tv-ShenzhenTV.cn@SD</v>
      </c>
      <c r="B179" t="s">
        <v>934</v>
      </c>
      <c r="C179" s="3" t="s">
        <v>1195</v>
      </c>
      <c r="D179" t="s">
        <v>939</v>
      </c>
      <c r="E179" t="s">
        <v>933</v>
      </c>
      <c r="F179" t="s">
        <v>837</v>
      </c>
    </row>
    <row r="180" spans="1:6" x14ac:dyDescent="0.55000000000000004">
      <c r="A180" s="4" t="str">
        <f>GUIDE[[#This Row],[SITE]]&amp;"-"&amp;GUIDE[[#This Row],[TVGID]]</f>
        <v>maxstream.tv-SindoNewsTV.id@SD</v>
      </c>
      <c r="B180" t="s">
        <v>934</v>
      </c>
      <c r="C180" s="3" t="s">
        <v>1196</v>
      </c>
      <c r="D180" t="s">
        <v>939</v>
      </c>
      <c r="E180" t="s">
        <v>549</v>
      </c>
      <c r="F180" t="s">
        <v>839</v>
      </c>
    </row>
    <row r="181" spans="1:6" x14ac:dyDescent="0.55000000000000004">
      <c r="A181" s="4" t="str">
        <f>GUIDE[[#This Row],[SITE]]&amp;"-"&amp;GUIDE[[#This Row],[TVGID]]</f>
        <v>maxstream.tv-SinPoTV.id@HD</v>
      </c>
      <c r="B181" t="s">
        <v>934</v>
      </c>
      <c r="C181" s="3" t="s">
        <v>1197</v>
      </c>
      <c r="D181" t="s">
        <v>939</v>
      </c>
      <c r="E181" t="s">
        <v>925</v>
      </c>
      <c r="F181" t="s">
        <v>841</v>
      </c>
    </row>
    <row r="182" spans="1:6" x14ac:dyDescent="0.55000000000000004">
      <c r="A182" s="4" t="str">
        <f>GUIDE[[#This Row],[SITE]]&amp;"-"&amp;GUIDE[[#This Row],[TVGID]]</f>
        <v>maxstream.tv-SPOTV.id@SD</v>
      </c>
      <c r="B182" t="s">
        <v>934</v>
      </c>
      <c r="C182" s="3" t="s">
        <v>1199</v>
      </c>
      <c r="D182" t="s">
        <v>939</v>
      </c>
      <c r="E182" t="s">
        <v>614</v>
      </c>
      <c r="F182" t="s">
        <v>309</v>
      </c>
    </row>
    <row r="183" spans="1:6" x14ac:dyDescent="0.55000000000000004">
      <c r="A183" s="4" t="str">
        <f>GUIDE[[#This Row],[SITE]]&amp;"-"&amp;GUIDE[[#This Row],[TVGID]]</f>
        <v>maxstream.tv-SPOTV2.id@SD</v>
      </c>
      <c r="B183" t="s">
        <v>934</v>
      </c>
      <c r="C183" s="3" t="s">
        <v>1198</v>
      </c>
      <c r="D183" t="s">
        <v>939</v>
      </c>
      <c r="E183" t="s">
        <v>615</v>
      </c>
      <c r="F183" t="s">
        <v>310</v>
      </c>
    </row>
    <row r="184" spans="1:6" x14ac:dyDescent="0.55000000000000004">
      <c r="A184" s="4" t="str">
        <f>GUIDE[[#This Row],[SITE]]&amp;"-"&amp;GUIDE[[#This Row],[TVGID]]</f>
        <v>maxstream.tv-StudioUniversalLatinAmerica.us@Brazil</v>
      </c>
      <c r="B184" t="s">
        <v>934</v>
      </c>
      <c r="C184" s="3" t="s">
        <v>1200</v>
      </c>
      <c r="D184" t="s">
        <v>939</v>
      </c>
      <c r="E184" t="s">
        <v>377</v>
      </c>
      <c r="F184" t="s">
        <v>320</v>
      </c>
    </row>
    <row r="185" spans="1:6" x14ac:dyDescent="0.55000000000000004">
      <c r="A185" s="4" t="str">
        <f>GUIDE[[#This Row],[SITE]]&amp;"-"&amp;GUIDE[[#This Row],[TVGID]]</f>
        <v>maxstream.tv-TheIndonesiaChannel.id@SD</v>
      </c>
      <c r="B185" t="s">
        <v>934</v>
      </c>
      <c r="C185" s="3" t="s">
        <v>1201</v>
      </c>
      <c r="D185" t="s">
        <v>939</v>
      </c>
      <c r="E185" t="s">
        <v>1202</v>
      </c>
      <c r="F185" t="s">
        <v>847</v>
      </c>
    </row>
    <row r="186" spans="1:6" x14ac:dyDescent="0.55000000000000004">
      <c r="A186" s="4" t="str">
        <f>GUIDE[[#This Row],[SITE]]&amp;"-"&amp;GUIDE[[#This Row],[TVGID]]</f>
        <v>maxstream.tv-TLCSoutheastAsia.sg@SD</v>
      </c>
      <c r="B186" t="s">
        <v>934</v>
      </c>
      <c r="C186" s="3" t="s">
        <v>1203</v>
      </c>
      <c r="D186" t="s">
        <v>939</v>
      </c>
      <c r="E186" t="s">
        <v>572</v>
      </c>
      <c r="F186" t="s">
        <v>53</v>
      </c>
    </row>
    <row r="187" spans="1:6" x14ac:dyDescent="0.55000000000000004">
      <c r="A187" s="4" t="str">
        <f>GUIDE[[#This Row],[SITE]]&amp;"-"&amp;GUIDE[[#This Row],[TVGID]]</f>
        <v>maxstream.tv-TransTV.id@SD</v>
      </c>
      <c r="B187" t="s">
        <v>934</v>
      </c>
      <c r="C187" s="3" t="s">
        <v>1204</v>
      </c>
      <c r="D187" t="s">
        <v>939</v>
      </c>
      <c r="E187" t="s">
        <v>527</v>
      </c>
      <c r="F187" t="s">
        <v>853</v>
      </c>
    </row>
    <row r="188" spans="1:6" x14ac:dyDescent="0.55000000000000004">
      <c r="A188" s="4" t="str">
        <f>GUIDE[[#This Row],[SITE]]&amp;"-"&amp;GUIDE[[#This Row],[TVGID]]</f>
        <v>maxstream.tv-TV9Nusantara.id@SD</v>
      </c>
      <c r="B188" t="s">
        <v>934</v>
      </c>
      <c r="C188" s="3" t="s">
        <v>1205</v>
      </c>
      <c r="D188" t="s">
        <v>939</v>
      </c>
      <c r="E188" t="s">
        <v>635</v>
      </c>
      <c r="F188" t="s">
        <v>862</v>
      </c>
    </row>
    <row r="189" spans="1:6" x14ac:dyDescent="0.55000000000000004">
      <c r="A189" s="4" t="str">
        <f>GUIDE[[#This Row],[SITE]]&amp;"-"&amp;GUIDE[[#This Row],[TVGID]]</f>
        <v>maxstream.tv-TVBSNews.tw@SD</v>
      </c>
      <c r="B189" t="s">
        <v>934</v>
      </c>
      <c r="C189" s="3" t="s">
        <v>1206</v>
      </c>
      <c r="D189" t="s">
        <v>939</v>
      </c>
      <c r="E189" t="s">
        <v>629</v>
      </c>
      <c r="F189" t="s">
        <v>101</v>
      </c>
    </row>
    <row r="190" spans="1:6" x14ac:dyDescent="0.55000000000000004">
      <c r="A190" s="4" t="str">
        <f>GUIDE[[#This Row],[SITE]]&amp;"-"&amp;GUIDE[[#This Row],[TVGID]]</f>
        <v>maxstream.tv-TVMu.id@SD</v>
      </c>
      <c r="B190" t="s">
        <v>934</v>
      </c>
      <c r="C190" s="3" t="s">
        <v>1207</v>
      </c>
      <c r="D190" t="s">
        <v>939</v>
      </c>
      <c r="E190" t="s">
        <v>636</v>
      </c>
      <c r="F190" t="s">
        <v>855</v>
      </c>
    </row>
    <row r="191" spans="1:6" x14ac:dyDescent="0.55000000000000004">
      <c r="A191" s="4" t="str">
        <f>GUIDE[[#This Row],[SITE]]&amp;"-"&amp;GUIDE[[#This Row],[TVGID]]</f>
        <v>maxstream.tv-TVMUI.id@SD</v>
      </c>
      <c r="B191" t="s">
        <v>934</v>
      </c>
      <c r="C191" s="3" t="s">
        <v>1208</v>
      </c>
      <c r="D191" t="s">
        <v>939</v>
      </c>
      <c r="E191" t="s">
        <v>637</v>
      </c>
      <c r="F191" t="s">
        <v>857</v>
      </c>
    </row>
    <row r="192" spans="1:6" x14ac:dyDescent="0.55000000000000004">
      <c r="A192" s="4" t="str">
        <f>GUIDE[[#This Row],[SITE]]&amp;"-"&amp;GUIDE[[#This Row],[TVGID]]</f>
        <v>maxstream.tv-TVRI.id@SD</v>
      </c>
      <c r="B192" t="s">
        <v>934</v>
      </c>
      <c r="C192" s="3" t="s">
        <v>1209</v>
      </c>
      <c r="D192" t="s">
        <v>939</v>
      </c>
      <c r="E192" t="s">
        <v>522</v>
      </c>
      <c r="F192" t="s">
        <v>83</v>
      </c>
    </row>
    <row r="193" spans="1:6" x14ac:dyDescent="0.55000000000000004">
      <c r="A193" s="4" t="str">
        <f>GUIDE[[#This Row],[SITE]]&amp;"-"&amp;GUIDE[[#This Row],[TVGID]]</f>
        <v>maxstream.tv-TVRIWorld.id@SD</v>
      </c>
      <c r="B193" t="s">
        <v>934</v>
      </c>
      <c r="C193" s="3" t="s">
        <v>1210</v>
      </c>
      <c r="D193" t="s">
        <v>939</v>
      </c>
      <c r="E193" t="s">
        <v>638</v>
      </c>
      <c r="F193" t="s">
        <v>870</v>
      </c>
    </row>
    <row r="194" spans="1:6" x14ac:dyDescent="0.55000000000000004">
      <c r="A194" s="4" t="str">
        <f>GUIDE[[#This Row],[SITE]]&amp;"-"&amp;GUIDE[[#This Row],[TVGID]]</f>
        <v>maxstream.tv-UChannel.id@SD</v>
      </c>
      <c r="B194" t="s">
        <v>934</v>
      </c>
      <c r="C194" s="3" t="s">
        <v>1211</v>
      </c>
      <c r="D194" t="s">
        <v>939</v>
      </c>
      <c r="E194" t="s">
        <v>1212</v>
      </c>
      <c r="F194" t="s">
        <v>872</v>
      </c>
    </row>
    <row r="195" spans="1:6" x14ac:dyDescent="0.55000000000000004">
      <c r="A195" s="4" t="str">
        <f>GUIDE[[#This Row],[SITE]]&amp;"-"&amp;GUIDE[[#This Row],[TVGID]]</f>
        <v>maxstream.tv-WarnerTVAsia.us@SD</v>
      </c>
      <c r="B195" t="s">
        <v>934</v>
      </c>
      <c r="C195" s="3" t="s">
        <v>2291</v>
      </c>
      <c r="D195" t="s">
        <v>939</v>
      </c>
      <c r="E195" t="s">
        <v>581</v>
      </c>
      <c r="F195" t="s">
        <v>1683</v>
      </c>
    </row>
    <row r="196" spans="1:6" x14ac:dyDescent="0.55000000000000004">
      <c r="A196" s="4" t="str">
        <f>GUIDE[[#This Row],[SITE]]&amp;"-"&amp;GUIDE[[#This Row],[TVGID]]</f>
        <v>maxstream.tv-ZhejiangInternationalChannel.cn@SD</v>
      </c>
      <c r="B196" t="s">
        <v>934</v>
      </c>
      <c r="C196" s="3" t="s">
        <v>1213</v>
      </c>
      <c r="D196" t="s">
        <v>939</v>
      </c>
      <c r="E196" t="s">
        <v>932</v>
      </c>
      <c r="F196" t="s">
        <v>876</v>
      </c>
    </row>
    <row r="197" spans="1:6" x14ac:dyDescent="0.55000000000000004">
      <c r="A197" s="4" t="str">
        <f>GUIDE[[#This Row],[SITE]]&amp;"-"&amp;GUIDE[[#This Row],[TVGID]]</f>
        <v>mncvision.id-ABCAustralia.au@SD</v>
      </c>
      <c r="B197" t="s">
        <v>1214</v>
      </c>
      <c r="C197" s="3" t="s">
        <v>1215</v>
      </c>
      <c r="D197" t="s">
        <v>939</v>
      </c>
      <c r="E197" t="s">
        <v>590</v>
      </c>
      <c r="F197" t="s">
        <v>96</v>
      </c>
    </row>
    <row r="198" spans="1:6" x14ac:dyDescent="0.55000000000000004">
      <c r="A198" s="4" t="str">
        <f>GUIDE[[#This Row],[SITE]]&amp;"-"&amp;GUIDE[[#This Row],[TVGID]]</f>
        <v>mncvision.id-AlJazeera.qa@English</v>
      </c>
      <c r="B198" t="s">
        <v>1214</v>
      </c>
      <c r="C198" s="3" t="s">
        <v>1216</v>
      </c>
      <c r="D198" t="s">
        <v>939</v>
      </c>
      <c r="E198" t="s">
        <v>1042</v>
      </c>
      <c r="F198" t="s">
        <v>1043</v>
      </c>
    </row>
    <row r="199" spans="1:6" x14ac:dyDescent="0.55000000000000004">
      <c r="A199" s="4" t="str">
        <f>GUIDE[[#This Row],[SITE]]&amp;"-"&amp;GUIDE[[#This Row],[TVGID]]</f>
        <v>mncvision.id-AlQuranAlKareemTV.sa@SD</v>
      </c>
      <c r="B199" t="s">
        <v>1214</v>
      </c>
      <c r="C199" s="3" t="s">
        <v>1217</v>
      </c>
      <c r="D199" t="s">
        <v>939</v>
      </c>
      <c r="E199" t="s">
        <v>914</v>
      </c>
      <c r="F199" t="s">
        <v>942</v>
      </c>
    </row>
    <row r="200" spans="1:6" x14ac:dyDescent="0.55000000000000004">
      <c r="A200" s="4" t="str">
        <f>GUIDE[[#This Row],[SITE]]&amp;"-"&amp;GUIDE[[#This Row],[TVGID]]</f>
        <v>mncvision.id-AnimaxAsia.sg@SD</v>
      </c>
      <c r="B200" t="s">
        <v>1214</v>
      </c>
      <c r="C200" s="3" t="s">
        <v>1218</v>
      </c>
      <c r="D200" t="s">
        <v>939</v>
      </c>
      <c r="E200" t="s">
        <v>576</v>
      </c>
      <c r="F200" t="s">
        <v>57</v>
      </c>
    </row>
    <row r="201" spans="1:6" x14ac:dyDescent="0.55000000000000004">
      <c r="A201" s="4" t="str">
        <f>GUIDE[[#This Row],[SITE]]&amp;"-"&amp;GUIDE[[#This Row],[TVGID]]</f>
        <v>mncvision.id-ANTV.id@SD</v>
      </c>
      <c r="B201" t="s">
        <v>1214</v>
      </c>
      <c r="C201" s="3" t="s">
        <v>1219</v>
      </c>
      <c r="D201" t="s">
        <v>939</v>
      </c>
      <c r="E201" t="s">
        <v>531</v>
      </c>
      <c r="F201" t="s">
        <v>89</v>
      </c>
    </row>
    <row r="202" spans="1:6" x14ac:dyDescent="0.55000000000000004">
      <c r="A202" s="4" t="str">
        <f>GUIDE[[#This Row],[SITE]]&amp;"-"&amp;GUIDE[[#This Row],[TVGID]]</f>
        <v>mncvision.id-ArirangWorld.kr@SD</v>
      </c>
      <c r="B202" t="s">
        <v>1214</v>
      </c>
      <c r="C202" s="3" t="s">
        <v>1220</v>
      </c>
      <c r="D202" t="s">
        <v>939</v>
      </c>
      <c r="E202" t="s">
        <v>1221</v>
      </c>
      <c r="F202" t="s">
        <v>94</v>
      </c>
    </row>
    <row r="203" spans="1:6" x14ac:dyDescent="0.55000000000000004">
      <c r="A203" s="4" t="str">
        <f>GUIDE[[#This Row],[SITE]]&amp;"-"&amp;GUIDE[[#This Row],[TVGID]]</f>
        <v>mncvision.id-AXNAsia.sg@Indonesia</v>
      </c>
      <c r="B203" t="s">
        <v>1214</v>
      </c>
      <c r="C203" s="3" t="s">
        <v>1222</v>
      </c>
      <c r="D203" t="s">
        <v>939</v>
      </c>
      <c r="E203" t="s">
        <v>372</v>
      </c>
      <c r="F203" t="s">
        <v>59</v>
      </c>
    </row>
    <row r="204" spans="1:6" x14ac:dyDescent="0.55000000000000004">
      <c r="A204" s="4" t="str">
        <f>GUIDE[[#This Row],[SITE]]&amp;"-"&amp;GUIDE[[#This Row],[TVGID]]</f>
        <v>mncvision.id-BBCEarth.uk@Asia</v>
      </c>
      <c r="B204" t="s">
        <v>1214</v>
      </c>
      <c r="C204" s="3" t="s">
        <v>988</v>
      </c>
      <c r="D204" t="s">
        <v>939</v>
      </c>
      <c r="E204" t="s">
        <v>1223</v>
      </c>
      <c r="F204" t="s">
        <v>1224</v>
      </c>
    </row>
    <row r="205" spans="1:6" x14ac:dyDescent="0.55000000000000004">
      <c r="A205" s="4" t="str">
        <f>GUIDE[[#This Row],[SITE]]&amp;"-"&amp;GUIDE[[#This Row],[TVGID]]</f>
        <v>mncvision.id-BBCEarth.uk@AsiaHD</v>
      </c>
      <c r="B205" t="s">
        <v>1214</v>
      </c>
      <c r="C205" s="3" t="s">
        <v>1225</v>
      </c>
      <c r="D205" t="s">
        <v>939</v>
      </c>
      <c r="E205" t="s">
        <v>1226</v>
      </c>
      <c r="F205" t="s">
        <v>1227</v>
      </c>
    </row>
    <row r="206" spans="1:6" x14ac:dyDescent="0.55000000000000004">
      <c r="A206" s="4" t="str">
        <f>GUIDE[[#This Row],[SITE]]&amp;"-"&amp;GUIDE[[#This Row],[TVGID]]</f>
        <v>mncvision.id-BBCNews.uk@AsiaPacific</v>
      </c>
      <c r="B206" t="s">
        <v>1214</v>
      </c>
      <c r="C206" s="3" t="s">
        <v>1228</v>
      </c>
      <c r="D206" t="s">
        <v>939</v>
      </c>
      <c r="E206" t="s">
        <v>915</v>
      </c>
      <c r="F206" t="s">
        <v>1229</v>
      </c>
    </row>
    <row r="207" spans="1:6" x14ac:dyDescent="0.55000000000000004">
      <c r="A207" s="4" t="str">
        <f>GUIDE[[#This Row],[SITE]]&amp;"-"&amp;GUIDE[[#This Row],[TVGID]]</f>
        <v>mncvision.id-beINSports1.qa@Indonesia</v>
      </c>
      <c r="B207" t="s">
        <v>1214</v>
      </c>
      <c r="C207" s="3" t="s">
        <v>1230</v>
      </c>
      <c r="D207" t="s">
        <v>939</v>
      </c>
      <c r="E207" t="s">
        <v>1231</v>
      </c>
      <c r="F207" t="s">
        <v>1232</v>
      </c>
    </row>
    <row r="208" spans="1:6" x14ac:dyDescent="0.55000000000000004">
      <c r="A208" s="4" t="str">
        <f>GUIDE[[#This Row],[SITE]]&amp;"-"&amp;GUIDE[[#This Row],[TVGID]]</f>
        <v>mncvision.id-beINSports2.qa@MENA</v>
      </c>
      <c r="B208" t="s">
        <v>1214</v>
      </c>
      <c r="C208" s="3" t="s">
        <v>1233</v>
      </c>
      <c r="D208" t="s">
        <v>939</v>
      </c>
      <c r="E208" t="s">
        <v>1234</v>
      </c>
      <c r="F208" t="s">
        <v>1235</v>
      </c>
    </row>
    <row r="209" spans="1:6" x14ac:dyDescent="0.55000000000000004">
      <c r="A209" s="4" t="str">
        <f>GUIDE[[#This Row],[SITE]]&amp;"-"&amp;GUIDE[[#This Row],[TVGID]]</f>
        <v>mncvision.id-beINSports3.qa@Indonesia</v>
      </c>
      <c r="B209" t="s">
        <v>1214</v>
      </c>
      <c r="C209" s="3" t="s">
        <v>1236</v>
      </c>
      <c r="D209" t="s">
        <v>939</v>
      </c>
      <c r="E209" t="s">
        <v>1237</v>
      </c>
      <c r="F209" t="s">
        <v>1238</v>
      </c>
    </row>
    <row r="210" spans="1:6" x14ac:dyDescent="0.55000000000000004">
      <c r="A210" s="4" t="str">
        <f>GUIDE[[#This Row],[SITE]]&amp;"-"&amp;GUIDE[[#This Row],[TVGID]]</f>
        <v>mncvision.id-beINSports4.qa@MENA</v>
      </c>
      <c r="B210" t="s">
        <v>1214</v>
      </c>
      <c r="C210" s="3" t="s">
        <v>1239</v>
      </c>
      <c r="D210" t="s">
        <v>939</v>
      </c>
      <c r="E210" t="s">
        <v>1240</v>
      </c>
      <c r="F210" t="s">
        <v>1241</v>
      </c>
    </row>
    <row r="211" spans="1:6" x14ac:dyDescent="0.55000000000000004">
      <c r="A211" s="4" t="str">
        <f>GUIDE[[#This Row],[SITE]]&amp;"-"&amp;GUIDE[[#This Row],[TVGID]]</f>
        <v>mncvision.id-beINSports5.qa@MENA</v>
      </c>
      <c r="B211" t="s">
        <v>1214</v>
      </c>
      <c r="C211" s="3" t="s">
        <v>1242</v>
      </c>
      <c r="D211" t="s">
        <v>939</v>
      </c>
      <c r="E211" t="s">
        <v>1243</v>
      </c>
      <c r="F211" t="s">
        <v>1244</v>
      </c>
    </row>
    <row r="212" spans="1:6" x14ac:dyDescent="0.55000000000000004">
      <c r="A212" s="4" t="str">
        <f>GUIDE[[#This Row],[SITE]]&amp;"-"&amp;GUIDE[[#This Row],[TVGID]]</f>
        <v>mncvision.id-BloombergTV.us@Asia</v>
      </c>
      <c r="B212" t="s">
        <v>1214</v>
      </c>
      <c r="C212" s="3" t="s">
        <v>1245</v>
      </c>
      <c r="D212" t="s">
        <v>939</v>
      </c>
      <c r="E212" t="s">
        <v>374</v>
      </c>
      <c r="F212" t="s">
        <v>699</v>
      </c>
    </row>
    <row r="213" spans="1:6" x14ac:dyDescent="0.55000000000000004">
      <c r="A213" s="4" t="str">
        <f>GUIDE[[#This Row],[SITE]]&amp;"-"&amp;GUIDE[[#This Row],[TVGID]]</f>
        <v>mncvision.id-BTV.id@SD</v>
      </c>
      <c r="B213" t="s">
        <v>1214</v>
      </c>
      <c r="C213" s="3" t="s">
        <v>1246</v>
      </c>
      <c r="D213" t="s">
        <v>939</v>
      </c>
      <c r="E213" t="s">
        <v>535</v>
      </c>
      <c r="F213" t="s">
        <v>86</v>
      </c>
    </row>
    <row r="214" spans="1:6" x14ac:dyDescent="0.55000000000000004">
      <c r="A214" s="4" t="str">
        <f>GUIDE[[#This Row],[SITE]]&amp;"-"&amp;GUIDE[[#This Row],[TVGID]]</f>
        <v>mncvision.id-CBeebiesAsia.uk@SD</v>
      </c>
      <c r="B214" t="s">
        <v>1214</v>
      </c>
      <c r="C214" s="3" t="s">
        <v>1115</v>
      </c>
      <c r="D214" t="s">
        <v>939</v>
      </c>
      <c r="E214" t="s">
        <v>657</v>
      </c>
      <c r="F214" t="s">
        <v>647</v>
      </c>
    </row>
    <row r="215" spans="1:6" x14ac:dyDescent="0.55000000000000004">
      <c r="A215" s="4" t="str">
        <f>GUIDE[[#This Row],[SITE]]&amp;"-"&amp;GUIDE[[#This Row],[TVGID]]</f>
        <v>mncvision.id-CelebritiesTV.id@SD</v>
      </c>
      <c r="B215" t="s">
        <v>1214</v>
      </c>
      <c r="C215" s="3" t="s">
        <v>1247</v>
      </c>
      <c r="D215" t="s">
        <v>939</v>
      </c>
      <c r="E215" t="s">
        <v>1248</v>
      </c>
      <c r="F215" t="s">
        <v>1249</v>
      </c>
    </row>
    <row r="216" spans="1:6" x14ac:dyDescent="0.55000000000000004">
      <c r="A216" s="4" t="str">
        <f>GUIDE[[#This Row],[SITE]]&amp;"-"&amp;GUIDE[[#This Row],[TVGID]]</f>
        <v>mncvision.id-CelestialClassicMovies.id@SD</v>
      </c>
      <c r="B216" t="s">
        <v>1214</v>
      </c>
      <c r="C216" s="3" t="s">
        <v>1104</v>
      </c>
      <c r="D216" t="s">
        <v>939</v>
      </c>
      <c r="E216" t="s">
        <v>1250</v>
      </c>
      <c r="F216" t="s">
        <v>1251</v>
      </c>
    </row>
    <row r="217" spans="1:6" x14ac:dyDescent="0.55000000000000004">
      <c r="A217" s="4" t="str">
        <f>GUIDE[[#This Row],[SITE]]&amp;"-"&amp;GUIDE[[#This Row],[TVGID]]</f>
        <v>mncvision.id-CelestialMoviesIndonesia.id@SD</v>
      </c>
      <c r="B217" t="s">
        <v>1214</v>
      </c>
      <c r="C217" s="3" t="s">
        <v>1252</v>
      </c>
      <c r="D217" t="s">
        <v>939</v>
      </c>
      <c r="E217" t="s">
        <v>605</v>
      </c>
      <c r="F217" t="s">
        <v>706</v>
      </c>
    </row>
    <row r="218" spans="1:6" x14ac:dyDescent="0.55000000000000004">
      <c r="A218" s="4" t="str">
        <f>GUIDE[[#This Row],[SITE]]&amp;"-"&amp;GUIDE[[#This Row],[TVGID]]</f>
        <v>mncvision.id-CGTN.cn@SD</v>
      </c>
      <c r="B218" t="s">
        <v>1214</v>
      </c>
      <c r="C218" s="3" t="s">
        <v>1253</v>
      </c>
      <c r="D218" t="s">
        <v>939</v>
      </c>
      <c r="E218" t="s">
        <v>951</v>
      </c>
      <c r="F218" t="s">
        <v>709</v>
      </c>
    </row>
    <row r="219" spans="1:6" x14ac:dyDescent="0.55000000000000004">
      <c r="A219" s="4" t="str">
        <f>GUIDE[[#This Row],[SITE]]&amp;"-"&amp;GUIDE[[#This Row],[TVGID]]</f>
        <v>mncvision.id-CGTNDocumentary.cn@SD</v>
      </c>
      <c r="B219" t="s">
        <v>1214</v>
      </c>
      <c r="C219" s="3" t="s">
        <v>1254</v>
      </c>
      <c r="D219" t="s">
        <v>939</v>
      </c>
      <c r="E219" t="s">
        <v>555</v>
      </c>
      <c r="F219" t="s">
        <v>48</v>
      </c>
    </row>
    <row r="220" spans="1:6" x14ac:dyDescent="0.55000000000000004">
      <c r="A220" s="4" t="str">
        <f>GUIDE[[#This Row],[SITE]]&amp;"-"&amp;GUIDE[[#This Row],[TVGID]]</f>
        <v>mncvision.id-Cinemachi.uk@HD</v>
      </c>
      <c r="B220" t="s">
        <v>1214</v>
      </c>
      <c r="C220" s="3" t="s">
        <v>1255</v>
      </c>
      <c r="D220" t="s">
        <v>939</v>
      </c>
      <c r="E220" t="s">
        <v>1256</v>
      </c>
      <c r="F220" t="s">
        <v>1257</v>
      </c>
    </row>
    <row r="221" spans="1:6" x14ac:dyDescent="0.55000000000000004">
      <c r="A221" s="4" t="str">
        <f>GUIDE[[#This Row],[SITE]]&amp;"-"&amp;GUIDE[[#This Row],[TVGID]]</f>
        <v>mncvision.id-Cinemachi.uk@SD</v>
      </c>
      <c r="B221" t="s">
        <v>1214</v>
      </c>
      <c r="C221" s="3" t="s">
        <v>1258</v>
      </c>
      <c r="D221" t="s">
        <v>939</v>
      </c>
      <c r="E221" t="s">
        <v>1259</v>
      </c>
      <c r="F221" t="s">
        <v>1260</v>
      </c>
    </row>
    <row r="222" spans="1:6" x14ac:dyDescent="0.55000000000000004">
      <c r="A222" s="4" t="str">
        <f>GUIDE[[#This Row],[SITE]]&amp;"-"&amp;GUIDE[[#This Row],[TVGID]]</f>
        <v>mncvision.id-CinemachiAction.uk@HD</v>
      </c>
      <c r="B222" t="s">
        <v>1214</v>
      </c>
      <c r="C222" s="3" t="s">
        <v>1261</v>
      </c>
      <c r="D222" t="s">
        <v>939</v>
      </c>
      <c r="E222" t="s">
        <v>1262</v>
      </c>
      <c r="F222" t="s">
        <v>1263</v>
      </c>
    </row>
    <row r="223" spans="1:6" x14ac:dyDescent="0.55000000000000004">
      <c r="A223" s="4" t="str">
        <f>GUIDE[[#This Row],[SITE]]&amp;"-"&amp;GUIDE[[#This Row],[TVGID]]</f>
        <v>mncvision.id-CinemachiAction.uk@SD</v>
      </c>
      <c r="B223" t="s">
        <v>1214</v>
      </c>
      <c r="C223" s="3" t="s">
        <v>1264</v>
      </c>
      <c r="D223" t="s">
        <v>939</v>
      </c>
      <c r="E223" t="s">
        <v>1265</v>
      </c>
      <c r="F223" t="s">
        <v>1266</v>
      </c>
    </row>
    <row r="224" spans="1:6" x14ac:dyDescent="0.55000000000000004">
      <c r="A224" s="4" t="str">
        <f>GUIDE[[#This Row],[SITE]]&amp;"-"&amp;GUIDE[[#This Row],[TVGID]]</f>
        <v>mncvision.id-CinemachiKids.uk@HD</v>
      </c>
      <c r="B224" t="s">
        <v>1214</v>
      </c>
      <c r="C224" s="3" t="s">
        <v>1267</v>
      </c>
      <c r="D224" t="s">
        <v>939</v>
      </c>
      <c r="E224" t="s">
        <v>1268</v>
      </c>
      <c r="F224" t="s">
        <v>1269</v>
      </c>
    </row>
    <row r="225" spans="1:6" x14ac:dyDescent="0.55000000000000004">
      <c r="A225" s="4" t="str">
        <f>GUIDE[[#This Row],[SITE]]&amp;"-"&amp;GUIDE[[#This Row],[TVGID]]</f>
        <v>mncvision.id-CinemachiKids.uk@SD</v>
      </c>
      <c r="B225" t="s">
        <v>1214</v>
      </c>
      <c r="C225" s="3" t="s">
        <v>1270</v>
      </c>
      <c r="D225" t="s">
        <v>939</v>
      </c>
      <c r="E225" t="s">
        <v>1271</v>
      </c>
      <c r="F225" t="s">
        <v>1272</v>
      </c>
    </row>
    <row r="226" spans="1:6" x14ac:dyDescent="0.55000000000000004">
      <c r="A226" s="4" t="str">
        <f>GUIDE[[#This Row],[SITE]]&amp;"-"&amp;GUIDE[[#This Row],[TVGID]]</f>
        <v>mncvision.id-CinemachiMax.uk@HD</v>
      </c>
      <c r="B226" t="s">
        <v>1214</v>
      </c>
      <c r="C226" s="3" t="s">
        <v>1273</v>
      </c>
      <c r="D226" t="s">
        <v>939</v>
      </c>
      <c r="E226" t="s">
        <v>1274</v>
      </c>
      <c r="F226" t="s">
        <v>1275</v>
      </c>
    </row>
    <row r="227" spans="1:6" x14ac:dyDescent="0.55000000000000004">
      <c r="A227" s="4" t="str">
        <f>GUIDE[[#This Row],[SITE]]&amp;"-"&amp;GUIDE[[#This Row],[TVGID]]</f>
        <v>mncvision.id-CinemachiMax.uk@SD</v>
      </c>
      <c r="B227" t="s">
        <v>1214</v>
      </c>
      <c r="C227" s="3" t="s">
        <v>1276</v>
      </c>
      <c r="D227" t="s">
        <v>939</v>
      </c>
      <c r="E227" t="s">
        <v>1277</v>
      </c>
      <c r="F227" t="s">
        <v>1278</v>
      </c>
    </row>
    <row r="228" spans="1:6" x14ac:dyDescent="0.55000000000000004">
      <c r="A228" s="4" t="str">
        <f>GUIDE[[#This Row],[SITE]]&amp;"-"&amp;GUIDE[[#This Row],[TVGID]]</f>
        <v>mncvision.id-CinemachiXtra.uk@HD</v>
      </c>
      <c r="B228" t="s">
        <v>1214</v>
      </c>
      <c r="C228" s="3" t="s">
        <v>1279</v>
      </c>
      <c r="D228" t="s">
        <v>939</v>
      </c>
      <c r="E228" t="s">
        <v>1280</v>
      </c>
      <c r="F228" t="s">
        <v>1281</v>
      </c>
    </row>
    <row r="229" spans="1:6" x14ac:dyDescent="0.55000000000000004">
      <c r="A229" s="4" t="str">
        <f>GUIDE[[#This Row],[SITE]]&amp;"-"&amp;GUIDE[[#This Row],[TVGID]]</f>
        <v>mncvision.id-CinemachiXtra.uk@SD</v>
      </c>
      <c r="B229" t="s">
        <v>1214</v>
      </c>
      <c r="C229" s="3" t="s">
        <v>1090</v>
      </c>
      <c r="D229" t="s">
        <v>939</v>
      </c>
      <c r="E229" t="s">
        <v>1282</v>
      </c>
      <c r="F229" t="s">
        <v>1283</v>
      </c>
    </row>
    <row r="230" spans="1:6" x14ac:dyDescent="0.55000000000000004">
      <c r="A230" s="4" t="str">
        <f>GUIDE[[#This Row],[SITE]]&amp;"-"&amp;GUIDE[[#This Row],[TVGID]]</f>
        <v>mncvision.id-CNA.sg@SD</v>
      </c>
      <c r="B230" t="s">
        <v>1214</v>
      </c>
      <c r="C230" s="3" t="s">
        <v>1284</v>
      </c>
      <c r="D230" t="s">
        <v>939</v>
      </c>
      <c r="E230" t="s">
        <v>627</v>
      </c>
      <c r="F230" t="s">
        <v>1285</v>
      </c>
    </row>
    <row r="231" spans="1:6" x14ac:dyDescent="0.55000000000000004">
      <c r="A231" s="4" t="str">
        <f>GUIDE[[#This Row],[SITE]]&amp;"-"&amp;GUIDE[[#This Row],[TVGID]]</f>
        <v>mncvision.id-CNBCAsia.sg@SD</v>
      </c>
      <c r="B231" t="s">
        <v>1214</v>
      </c>
      <c r="C231" s="3" t="s">
        <v>1286</v>
      </c>
      <c r="D231" t="s">
        <v>939</v>
      </c>
      <c r="E231" t="s">
        <v>626</v>
      </c>
      <c r="F231" t="s">
        <v>1287</v>
      </c>
    </row>
    <row r="232" spans="1:6" x14ac:dyDescent="0.55000000000000004">
      <c r="A232" s="4" t="str">
        <f>GUIDE[[#This Row],[SITE]]&amp;"-"&amp;GUIDE[[#This Row],[TVGID]]</f>
        <v>mncvision.id-CrimePlusInvestigationAsia.sg@SD</v>
      </c>
      <c r="B232" t="s">
        <v>1214</v>
      </c>
      <c r="C232" s="3" t="s">
        <v>1288</v>
      </c>
      <c r="D232" t="s">
        <v>939</v>
      </c>
      <c r="E232" t="s">
        <v>554</v>
      </c>
      <c r="F232" t="s">
        <v>159</v>
      </c>
    </row>
    <row r="233" spans="1:6" x14ac:dyDescent="0.55000000000000004">
      <c r="A233" s="4" t="str">
        <f>GUIDE[[#This Row],[SITE]]&amp;"-"&amp;GUIDE[[#This Row],[TVGID]]</f>
        <v>mncvision.id-DMITV.id@SD</v>
      </c>
      <c r="B233" t="s">
        <v>1214</v>
      </c>
      <c r="C233" s="3" t="s">
        <v>1289</v>
      </c>
      <c r="D233" t="s">
        <v>939</v>
      </c>
      <c r="E233" t="s">
        <v>923</v>
      </c>
      <c r="F233" t="s">
        <v>1290</v>
      </c>
    </row>
    <row r="234" spans="1:6" x14ac:dyDescent="0.55000000000000004">
      <c r="A234" s="4" t="str">
        <f>GUIDE[[#This Row],[SITE]]&amp;"-"&amp;GUIDE[[#This Row],[TVGID]]</f>
        <v>mncvision.id-DreamWorksChannelAsia.us@SD</v>
      </c>
      <c r="B234" t="s">
        <v>1214</v>
      </c>
      <c r="C234" s="3" t="s">
        <v>1291</v>
      </c>
      <c r="D234" t="s">
        <v>939</v>
      </c>
      <c r="E234" t="s">
        <v>564</v>
      </c>
      <c r="F234" t="s">
        <v>145</v>
      </c>
    </row>
    <row r="235" spans="1:6" x14ac:dyDescent="0.55000000000000004">
      <c r="A235" s="4" t="str">
        <f>GUIDE[[#This Row],[SITE]]&amp;"-"&amp;GUIDE[[#This Row],[TVGID]]</f>
        <v>mncvision.id-DW.de@English</v>
      </c>
      <c r="B235" t="s">
        <v>1214</v>
      </c>
      <c r="C235" s="3" t="s">
        <v>1292</v>
      </c>
      <c r="D235" t="s">
        <v>939</v>
      </c>
      <c r="E235" t="s">
        <v>376</v>
      </c>
      <c r="F235" t="s">
        <v>740</v>
      </c>
    </row>
    <row r="236" spans="1:6" x14ac:dyDescent="0.55000000000000004">
      <c r="A236" s="4" t="str">
        <f>GUIDE[[#This Row],[SITE]]&amp;"-"&amp;GUIDE[[#This Row],[TVGID]]</f>
        <v>mncvision.id-Entertainment.id@SD</v>
      </c>
      <c r="B236" t="s">
        <v>1214</v>
      </c>
      <c r="C236" s="3" t="s">
        <v>1293</v>
      </c>
      <c r="D236" t="s">
        <v>939</v>
      </c>
      <c r="E236" t="s">
        <v>1294</v>
      </c>
      <c r="F236" t="s">
        <v>32</v>
      </c>
    </row>
    <row r="237" spans="1:6" x14ac:dyDescent="0.55000000000000004">
      <c r="A237" s="4" t="str">
        <f>GUIDE[[#This Row],[SITE]]&amp;"-"&amp;GUIDE[[#This Row],[TVGID]]</f>
        <v>mncvision.id-EuronewsEnglish.fr@SD</v>
      </c>
      <c r="B237" t="s">
        <v>1214</v>
      </c>
      <c r="C237" s="3" t="s">
        <v>1295</v>
      </c>
      <c r="D237" t="s">
        <v>939</v>
      </c>
      <c r="E237" t="s">
        <v>625</v>
      </c>
      <c r="F237" t="s">
        <v>1296</v>
      </c>
    </row>
    <row r="238" spans="1:6" x14ac:dyDescent="0.55000000000000004">
      <c r="A238" s="4" t="str">
        <f>GUIDE[[#This Row],[SITE]]&amp;"-"&amp;GUIDE[[#This Row],[TVGID]]</f>
        <v>mncvision.id-FightSports.us@SD</v>
      </c>
      <c r="B238" t="s">
        <v>1214</v>
      </c>
      <c r="C238" s="3" t="s">
        <v>1297</v>
      </c>
      <c r="D238" t="s">
        <v>939</v>
      </c>
      <c r="E238" t="s">
        <v>616</v>
      </c>
      <c r="F238" t="s">
        <v>745</v>
      </c>
    </row>
    <row r="239" spans="1:6" x14ac:dyDescent="0.55000000000000004">
      <c r="A239" s="4" t="str">
        <f>GUIDE[[#This Row],[SITE]]&amp;"-"&amp;GUIDE[[#This Row],[TVGID]]</f>
        <v>mncvision.id-FoxNewsChannel.us@SD</v>
      </c>
      <c r="B239" t="s">
        <v>1214</v>
      </c>
      <c r="C239" s="3" t="s">
        <v>1298</v>
      </c>
      <c r="D239" t="s">
        <v>939</v>
      </c>
      <c r="E239" t="s">
        <v>1299</v>
      </c>
      <c r="F239" t="s">
        <v>1300</v>
      </c>
    </row>
    <row r="240" spans="1:6" x14ac:dyDescent="0.55000000000000004">
      <c r="A240" s="4" t="str">
        <f>GUIDE[[#This Row],[SITE]]&amp;"-"&amp;GUIDE[[#This Row],[TVGID]]</f>
        <v>mncvision.id-France24.fr@English</v>
      </c>
      <c r="B240" t="s">
        <v>1214</v>
      </c>
      <c r="C240" s="3" t="s">
        <v>1301</v>
      </c>
      <c r="D240" t="s">
        <v>939</v>
      </c>
      <c r="E240" t="s">
        <v>375</v>
      </c>
      <c r="F240" t="s">
        <v>1302</v>
      </c>
    </row>
    <row r="241" spans="1:6" x14ac:dyDescent="0.55000000000000004">
      <c r="A241" s="4" t="str">
        <f>GUIDE[[#This Row],[SITE]]&amp;"-"&amp;GUIDE[[#This Row],[TVGID]]</f>
        <v>mncvision.id-Galaxy.id@SD</v>
      </c>
      <c r="B241" t="s">
        <v>1214</v>
      </c>
      <c r="C241" s="3" t="s">
        <v>1089</v>
      </c>
      <c r="D241" t="s">
        <v>939</v>
      </c>
      <c r="E241" t="s">
        <v>609</v>
      </c>
      <c r="F241" t="s">
        <v>99</v>
      </c>
    </row>
    <row r="242" spans="1:6" x14ac:dyDescent="0.55000000000000004">
      <c r="A242" s="4" t="str">
        <f>GUIDE[[#This Row],[SITE]]&amp;"-"&amp;GUIDE[[#This Row],[TVGID]]</f>
        <v>mncvision.id-GalaxyPremium.id@SD</v>
      </c>
      <c r="B242" t="s">
        <v>1214</v>
      </c>
      <c r="C242" s="3" t="s">
        <v>1303</v>
      </c>
      <c r="D242" t="s">
        <v>939</v>
      </c>
      <c r="E242" t="s">
        <v>613</v>
      </c>
      <c r="F242" t="s">
        <v>75</v>
      </c>
    </row>
    <row r="243" spans="1:6" x14ac:dyDescent="0.55000000000000004">
      <c r="A243" s="4" t="str">
        <f>GUIDE[[#This Row],[SITE]]&amp;"-"&amp;GUIDE[[#This Row],[TVGID]]</f>
        <v>mncvision.id-GlobalTrekker.sg@SD</v>
      </c>
      <c r="B243" t="s">
        <v>1214</v>
      </c>
      <c r="C243" s="3" t="s">
        <v>1022</v>
      </c>
      <c r="D243" t="s">
        <v>939</v>
      </c>
      <c r="E243" t="s">
        <v>1304</v>
      </c>
      <c r="F243" t="s">
        <v>1305</v>
      </c>
    </row>
    <row r="244" spans="1:6" x14ac:dyDescent="0.55000000000000004">
      <c r="A244" s="4" t="str">
        <f>GUIDE[[#This Row],[SITE]]&amp;"-"&amp;GUIDE[[#This Row],[TVGID]]</f>
        <v>mncvision.id-GTV.id@SD</v>
      </c>
      <c r="B244" t="s">
        <v>1214</v>
      </c>
      <c r="C244" s="3" t="s">
        <v>1075</v>
      </c>
      <c r="D244" t="s">
        <v>939</v>
      </c>
      <c r="E244" t="s">
        <v>640</v>
      </c>
      <c r="F244" t="s">
        <v>498</v>
      </c>
    </row>
    <row r="245" spans="1:6" x14ac:dyDescent="0.55000000000000004">
      <c r="A245" s="4" t="str">
        <f>GUIDE[[#This Row],[SITE]]&amp;"-"&amp;GUIDE[[#This Row],[TVGID]]</f>
        <v>mncvision.id-HistoryAsia.us@SD</v>
      </c>
      <c r="B245" t="s">
        <v>1214</v>
      </c>
      <c r="C245" s="3" t="s">
        <v>1306</v>
      </c>
      <c r="D245" t="s">
        <v>939</v>
      </c>
      <c r="E245" t="s">
        <v>556</v>
      </c>
      <c r="F245" t="s">
        <v>162</v>
      </c>
    </row>
    <row r="246" spans="1:6" x14ac:dyDescent="0.55000000000000004">
      <c r="A246" s="4" t="str">
        <f>GUIDE[[#This Row],[SITE]]&amp;"-"&amp;GUIDE[[#This Row],[TVGID]]</f>
        <v>mncvision.id-HITS.sg@SD</v>
      </c>
      <c r="B246" t="s">
        <v>1214</v>
      </c>
      <c r="C246" s="3" t="s">
        <v>1307</v>
      </c>
      <c r="D246" t="s">
        <v>939</v>
      </c>
      <c r="E246" t="s">
        <v>580</v>
      </c>
      <c r="F246" t="s">
        <v>760</v>
      </c>
    </row>
    <row r="247" spans="1:6" x14ac:dyDescent="0.55000000000000004">
      <c r="A247" s="4" t="str">
        <f>GUIDE[[#This Row],[SITE]]&amp;"-"&amp;GUIDE[[#This Row],[TVGID]]</f>
        <v>mncvision.id-HITSMovies.sg@HD</v>
      </c>
      <c r="B247" t="s">
        <v>1214</v>
      </c>
      <c r="C247" s="3" t="s">
        <v>1308</v>
      </c>
      <c r="D247" t="s">
        <v>939</v>
      </c>
      <c r="E247" t="s">
        <v>1309</v>
      </c>
      <c r="F247" t="s">
        <v>1310</v>
      </c>
    </row>
    <row r="248" spans="1:6" x14ac:dyDescent="0.55000000000000004">
      <c r="A248" s="4" t="str">
        <f>GUIDE[[#This Row],[SITE]]&amp;"-"&amp;GUIDE[[#This Row],[TVGID]]</f>
        <v>mncvision.id-HITSMovies.sg@SD</v>
      </c>
      <c r="B248" t="s">
        <v>1214</v>
      </c>
      <c r="C248" s="3" t="s">
        <v>1311</v>
      </c>
      <c r="D248" t="s">
        <v>939</v>
      </c>
      <c r="E248" t="s">
        <v>603</v>
      </c>
      <c r="F248" t="s">
        <v>762</v>
      </c>
    </row>
    <row r="249" spans="1:6" x14ac:dyDescent="0.55000000000000004">
      <c r="A249" s="4" t="str">
        <f>GUIDE[[#This Row],[SITE]]&amp;"-"&amp;GUIDE[[#This Row],[TVGID]]</f>
        <v>mncvision.id-IDXChannel.id@SD</v>
      </c>
      <c r="B249" t="s">
        <v>1214</v>
      </c>
      <c r="C249" s="3" t="s">
        <v>1312</v>
      </c>
      <c r="D249" t="s">
        <v>939</v>
      </c>
      <c r="E249" t="s">
        <v>539</v>
      </c>
      <c r="F249" t="s">
        <v>39</v>
      </c>
    </row>
    <row r="250" spans="1:6" x14ac:dyDescent="0.55000000000000004">
      <c r="A250" s="4" t="str">
        <f>GUIDE[[#This Row],[SITE]]&amp;"-"&amp;GUIDE[[#This Row],[TVGID]]</f>
        <v>mncvision.id-IMC.id@SD</v>
      </c>
      <c r="B250" t="s">
        <v>1214</v>
      </c>
      <c r="C250" s="3" t="s">
        <v>1313</v>
      </c>
      <c r="D250" t="s">
        <v>939</v>
      </c>
      <c r="E250" t="s">
        <v>612</v>
      </c>
      <c r="F250" t="s">
        <v>74</v>
      </c>
    </row>
    <row r="251" spans="1:6" x14ac:dyDescent="0.55000000000000004">
      <c r="A251" s="4" t="str">
        <f>GUIDE[[#This Row],[SITE]]&amp;"-"&amp;GUIDE[[#This Row],[TVGID]]</f>
        <v>mncvision.id-Indosiar.id@SD</v>
      </c>
      <c r="B251" t="s">
        <v>1214</v>
      </c>
      <c r="C251" s="3" t="s">
        <v>1112</v>
      </c>
      <c r="D251" t="s">
        <v>939</v>
      </c>
      <c r="E251" t="s">
        <v>532</v>
      </c>
      <c r="F251" t="s">
        <v>84</v>
      </c>
    </row>
    <row r="252" spans="1:6" x14ac:dyDescent="0.55000000000000004">
      <c r="A252" s="4" t="str">
        <f>GUIDE[[#This Row],[SITE]]&amp;"-"&amp;GUIDE[[#This Row],[TVGID]]</f>
        <v>mncvision.id-iNews.id@SD</v>
      </c>
      <c r="B252" t="s">
        <v>1214</v>
      </c>
      <c r="C252" s="3" t="s">
        <v>1314</v>
      </c>
      <c r="D252" t="s">
        <v>939</v>
      </c>
      <c r="E252" t="s">
        <v>916</v>
      </c>
      <c r="F252" t="s">
        <v>90</v>
      </c>
    </row>
    <row r="253" spans="1:6" x14ac:dyDescent="0.55000000000000004">
      <c r="A253" s="4" t="str">
        <f>GUIDE[[#This Row],[SITE]]&amp;"-"&amp;GUIDE[[#This Row],[TVGID]]</f>
        <v>mncvision.id-JakTV.id@SD</v>
      </c>
      <c r="B253" t="s">
        <v>1214</v>
      </c>
      <c r="C253" s="3" t="s">
        <v>1315</v>
      </c>
      <c r="D253" t="s">
        <v>939</v>
      </c>
      <c r="E253" t="s">
        <v>536</v>
      </c>
      <c r="F253" t="s">
        <v>1316</v>
      </c>
    </row>
    <row r="254" spans="1:6" x14ac:dyDescent="0.55000000000000004">
      <c r="A254" s="4" t="str">
        <f>GUIDE[[#This Row],[SITE]]&amp;"-"&amp;GUIDE[[#This Row],[TVGID]]</f>
        <v>mncvision.id-KidsTV.id@SD</v>
      </c>
      <c r="B254" t="s">
        <v>1214</v>
      </c>
      <c r="C254" s="3" t="s">
        <v>1317</v>
      </c>
      <c r="D254" t="s">
        <v>939</v>
      </c>
      <c r="E254" t="s">
        <v>1318</v>
      </c>
      <c r="F254" t="s">
        <v>1319</v>
      </c>
    </row>
    <row r="255" spans="1:6" x14ac:dyDescent="0.55000000000000004">
      <c r="A255" s="4" t="str">
        <f>GUIDE[[#This Row],[SITE]]&amp;"-"&amp;GUIDE[[#This Row],[TVGID]]</f>
        <v>mncvision.id-KIX.hk@SD</v>
      </c>
      <c r="B255" t="s">
        <v>1214</v>
      </c>
      <c r="C255" s="3" t="s">
        <v>1320</v>
      </c>
      <c r="D255" t="s">
        <v>939</v>
      </c>
      <c r="E255" t="s">
        <v>579</v>
      </c>
      <c r="F255" t="s">
        <v>780</v>
      </c>
    </row>
    <row r="256" spans="1:6" x14ac:dyDescent="0.55000000000000004">
      <c r="A256" s="4" t="str">
        <f>GUIDE[[#This Row],[SITE]]&amp;"-"&amp;GUIDE[[#This Row],[TVGID]]</f>
        <v>mncvision.id-KompasTV.id@SD</v>
      </c>
      <c r="B256" t="s">
        <v>1214</v>
      </c>
      <c r="C256" s="3" t="s">
        <v>1321</v>
      </c>
      <c r="D256" t="s">
        <v>939</v>
      </c>
      <c r="E256" t="s">
        <v>534</v>
      </c>
      <c r="F256" t="s">
        <v>85</v>
      </c>
    </row>
    <row r="257" spans="1:6" x14ac:dyDescent="0.55000000000000004">
      <c r="A257" s="4" t="str">
        <f>GUIDE[[#This Row],[SITE]]&amp;"-"&amp;GUIDE[[#This Row],[TVGID]]</f>
        <v>mncvision.id-Life.id@SD</v>
      </c>
      <c r="B257" t="s">
        <v>1214</v>
      </c>
      <c r="C257" s="3" t="s">
        <v>1322</v>
      </c>
      <c r="D257" t="s">
        <v>939</v>
      </c>
      <c r="E257" t="s">
        <v>1323</v>
      </c>
      <c r="F257" t="s">
        <v>1324</v>
      </c>
    </row>
    <row r="258" spans="1:6" x14ac:dyDescent="0.55000000000000004">
      <c r="A258" s="4" t="str">
        <f>GUIDE[[#This Row],[SITE]]&amp;"-"&amp;GUIDE[[#This Row],[TVGID]]</f>
        <v>mncvision.id-LifetimeAsia.us@SD</v>
      </c>
      <c r="B258" t="s">
        <v>1214</v>
      </c>
      <c r="C258" s="3" t="s">
        <v>1325</v>
      </c>
      <c r="D258" t="s">
        <v>939</v>
      </c>
      <c r="E258" t="s">
        <v>578</v>
      </c>
      <c r="F258" t="s">
        <v>58</v>
      </c>
    </row>
    <row r="259" spans="1:6" x14ac:dyDescent="0.55000000000000004">
      <c r="A259" s="4" t="str">
        <f>GUIDE[[#This Row],[SITE]]&amp;"-"&amp;GUIDE[[#This Row],[TVGID]]</f>
        <v>mncvision.id-LoveNature.ca@HD</v>
      </c>
      <c r="B259" t="s">
        <v>1214</v>
      </c>
      <c r="C259" s="3" t="s">
        <v>1326</v>
      </c>
      <c r="D259" t="s">
        <v>939</v>
      </c>
      <c r="E259" t="s">
        <v>1327</v>
      </c>
      <c r="F259" t="s">
        <v>1328</v>
      </c>
    </row>
    <row r="260" spans="1:6" x14ac:dyDescent="0.55000000000000004">
      <c r="A260" s="4" t="str">
        <f>GUIDE[[#This Row],[SITE]]&amp;"-"&amp;GUIDE[[#This Row],[TVGID]]</f>
        <v>mncvision.id-LoveNature.ca@SD</v>
      </c>
      <c r="B260" t="s">
        <v>1214</v>
      </c>
      <c r="C260" s="3" t="s">
        <v>941</v>
      </c>
      <c r="D260" t="s">
        <v>939</v>
      </c>
      <c r="E260" t="s">
        <v>559</v>
      </c>
      <c r="F260" t="s">
        <v>298</v>
      </c>
    </row>
    <row r="261" spans="1:6" x14ac:dyDescent="0.55000000000000004">
      <c r="A261" s="4" t="str">
        <f>GUIDE[[#This Row],[SITE]]&amp;"-"&amp;GUIDE[[#This Row],[TVGID]]</f>
        <v>mncvision.id-MDTV.id@HD</v>
      </c>
      <c r="B261" t="s">
        <v>1214</v>
      </c>
      <c r="C261" s="3" t="s">
        <v>1329</v>
      </c>
      <c r="D261" t="s">
        <v>939</v>
      </c>
      <c r="E261" t="s">
        <v>924</v>
      </c>
      <c r="F261" t="s">
        <v>366</v>
      </c>
    </row>
    <row r="262" spans="1:6" x14ac:dyDescent="0.55000000000000004">
      <c r="A262" s="4" t="str">
        <f>GUIDE[[#This Row],[SITE]]&amp;"-"&amp;GUIDE[[#This Row],[TVGID]]</f>
        <v>mncvision.id-MetroTV.id@SD</v>
      </c>
      <c r="B262" t="s">
        <v>1214</v>
      </c>
      <c r="C262" s="3" t="s">
        <v>1068</v>
      </c>
      <c r="D262" t="s">
        <v>939</v>
      </c>
      <c r="E262" t="s">
        <v>523</v>
      </c>
      <c r="F262" t="s">
        <v>34</v>
      </c>
    </row>
    <row r="263" spans="1:6" x14ac:dyDescent="0.55000000000000004">
      <c r="A263" s="4" t="str">
        <f>GUIDE[[#This Row],[SITE]]&amp;"-"&amp;GUIDE[[#This Row],[TVGID]]</f>
        <v>mncvision.id-MNCTV.id@SD</v>
      </c>
      <c r="B263" t="s">
        <v>1214</v>
      </c>
      <c r="C263" s="3" t="s">
        <v>1044</v>
      </c>
      <c r="D263" t="s">
        <v>939</v>
      </c>
      <c r="E263" t="s">
        <v>649</v>
      </c>
      <c r="F263" t="s">
        <v>1330</v>
      </c>
    </row>
    <row r="264" spans="1:6" x14ac:dyDescent="0.55000000000000004">
      <c r="A264" s="4" t="str">
        <f>GUIDE[[#This Row],[SITE]]&amp;"-"&amp;GUIDE[[#This Row],[TVGID]]</f>
        <v>mncvision.id-MoonbugKids.uk@SD</v>
      </c>
      <c r="B264" t="s">
        <v>1214</v>
      </c>
      <c r="C264" s="3" t="s">
        <v>1331</v>
      </c>
      <c r="D264" t="s">
        <v>939</v>
      </c>
      <c r="E264" t="s">
        <v>658</v>
      </c>
      <c r="F264" t="s">
        <v>314</v>
      </c>
    </row>
    <row r="265" spans="1:6" x14ac:dyDescent="0.55000000000000004">
      <c r="A265" s="4" t="str">
        <f>GUIDE[[#This Row],[SITE]]&amp;"-"&amp;GUIDE[[#This Row],[TVGID]]</f>
        <v>mncvision.id-MusicTV.id@SD</v>
      </c>
      <c r="B265" t="s">
        <v>1214</v>
      </c>
      <c r="C265" s="3" t="s">
        <v>1332</v>
      </c>
      <c r="D265" t="s">
        <v>939</v>
      </c>
      <c r="E265" t="s">
        <v>1333</v>
      </c>
      <c r="F265" t="s">
        <v>1334</v>
      </c>
    </row>
    <row r="266" spans="1:6" x14ac:dyDescent="0.55000000000000004">
      <c r="A266" s="4" t="str">
        <f>GUIDE[[#This Row],[SITE]]&amp;"-"&amp;GUIDE[[#This Row],[TVGID]]</f>
        <v>mncvision.id-MuslimTV.id@SD</v>
      </c>
      <c r="B266" t="s">
        <v>1214</v>
      </c>
      <c r="C266" s="3" t="s">
        <v>1094</v>
      </c>
      <c r="D266" t="s">
        <v>939</v>
      </c>
      <c r="E266" t="s">
        <v>1335</v>
      </c>
      <c r="F266" t="s">
        <v>1336</v>
      </c>
    </row>
    <row r="267" spans="1:6" x14ac:dyDescent="0.55000000000000004">
      <c r="A267" s="4" t="str">
        <f>GUIDE[[#This Row],[SITE]]&amp;"-"&amp;GUIDE[[#This Row],[TVGID]]</f>
        <v>mncvision.id-NHKWorldJapan.jp@SD</v>
      </c>
      <c r="B267" t="s">
        <v>1214</v>
      </c>
      <c r="C267" s="3" t="s">
        <v>1337</v>
      </c>
      <c r="D267" t="s">
        <v>939</v>
      </c>
      <c r="E267" t="s">
        <v>628</v>
      </c>
      <c r="F267" t="s">
        <v>1338</v>
      </c>
    </row>
    <row r="268" spans="1:6" x14ac:dyDescent="0.55000000000000004">
      <c r="A268" s="4" t="str">
        <f>GUIDE[[#This Row],[SITE]]&amp;"-"&amp;GUIDE[[#This Row],[TVGID]]</f>
        <v>mncvision.id-NHKWorldPremium.jp@SD</v>
      </c>
      <c r="B268" t="s">
        <v>1214</v>
      </c>
      <c r="C268" s="3" t="s">
        <v>1339</v>
      </c>
      <c r="D268" t="s">
        <v>939</v>
      </c>
      <c r="E268" t="s">
        <v>587</v>
      </c>
      <c r="F268" t="s">
        <v>1001</v>
      </c>
    </row>
    <row r="269" spans="1:6" x14ac:dyDescent="0.55000000000000004">
      <c r="A269" s="4" t="str">
        <f>GUIDE[[#This Row],[SITE]]&amp;"-"&amp;GUIDE[[#This Row],[TVGID]]</f>
        <v>mncvision.id-NickelodeonAsia.sg@SD</v>
      </c>
      <c r="B269" t="s">
        <v>1214</v>
      </c>
      <c r="C269" s="3" t="s">
        <v>1340</v>
      </c>
      <c r="D269" t="s">
        <v>939</v>
      </c>
      <c r="E269" t="s">
        <v>561</v>
      </c>
      <c r="F269" t="s">
        <v>51</v>
      </c>
    </row>
    <row r="270" spans="1:6" x14ac:dyDescent="0.55000000000000004">
      <c r="A270" s="4" t="str">
        <f>GUIDE[[#This Row],[SITE]]&amp;"-"&amp;GUIDE[[#This Row],[TVGID]]</f>
        <v>mncvision.id-NickJrAsia.sg@HD</v>
      </c>
      <c r="B270" t="s">
        <v>1214</v>
      </c>
      <c r="C270" s="3" t="s">
        <v>1341</v>
      </c>
      <c r="D270" t="s">
        <v>939</v>
      </c>
      <c r="E270" t="s">
        <v>1342</v>
      </c>
      <c r="F270" t="s">
        <v>1343</v>
      </c>
    </row>
    <row r="271" spans="1:6" x14ac:dyDescent="0.55000000000000004">
      <c r="A271" s="4" t="str">
        <f>GUIDE[[#This Row],[SITE]]&amp;"-"&amp;GUIDE[[#This Row],[TVGID]]</f>
        <v>mncvision.id-NickJrAsia.sg@SD</v>
      </c>
      <c r="B271" t="s">
        <v>1214</v>
      </c>
      <c r="C271" s="3" t="s">
        <v>1344</v>
      </c>
      <c r="D271" t="s">
        <v>939</v>
      </c>
      <c r="E271" t="s">
        <v>562</v>
      </c>
      <c r="F271" t="s">
        <v>1345</v>
      </c>
    </row>
    <row r="272" spans="1:6" x14ac:dyDescent="0.55000000000000004">
      <c r="A272" s="4" t="str">
        <f>GUIDE[[#This Row],[SITE]]&amp;"-"&amp;GUIDE[[#This Row],[TVGID]]</f>
        <v>mncvision.id-OKTV.id@SD</v>
      </c>
      <c r="B272" t="s">
        <v>1214</v>
      </c>
      <c r="C272" s="3" t="s">
        <v>1346</v>
      </c>
      <c r="D272" t="s">
        <v>939</v>
      </c>
      <c r="E272" t="s">
        <v>1347</v>
      </c>
      <c r="F272" t="s">
        <v>1348</v>
      </c>
    </row>
    <row r="273" spans="1:6" x14ac:dyDescent="0.55000000000000004">
      <c r="A273" s="4" t="str">
        <f>GUIDE[[#This Row],[SITE]]&amp;"-"&amp;GUIDE[[#This Row],[TVGID]]</f>
        <v>mncvision.id-ONE.sg@HD</v>
      </c>
      <c r="B273" t="s">
        <v>1214</v>
      </c>
      <c r="C273" s="3" t="s">
        <v>1349</v>
      </c>
      <c r="D273" t="s">
        <v>939</v>
      </c>
      <c r="E273" t="s">
        <v>1350</v>
      </c>
      <c r="F273" t="s">
        <v>1351</v>
      </c>
    </row>
    <row r="274" spans="1:6" x14ac:dyDescent="0.55000000000000004">
      <c r="A274" s="4" t="str">
        <f>GUIDE[[#This Row],[SITE]]&amp;"-"&amp;GUIDE[[#This Row],[TVGID]]</f>
        <v>mncvision.id-ONE.sg@SD</v>
      </c>
      <c r="B274" t="s">
        <v>1214</v>
      </c>
      <c r="C274" s="3" t="s">
        <v>1352</v>
      </c>
      <c r="D274" t="s">
        <v>939</v>
      </c>
      <c r="E274" t="s">
        <v>595</v>
      </c>
      <c r="F274" t="s">
        <v>823</v>
      </c>
    </row>
    <row r="275" spans="1:6" x14ac:dyDescent="0.55000000000000004">
      <c r="A275" s="4" t="str">
        <f>GUIDE[[#This Row],[SITE]]&amp;"-"&amp;GUIDE[[#This Row],[TVGID]]</f>
        <v>mncvision.id-OutdoorChannel.us@HD</v>
      </c>
      <c r="B275" t="s">
        <v>1214</v>
      </c>
      <c r="C275" s="3" t="s">
        <v>1353</v>
      </c>
      <c r="D275" t="s">
        <v>939</v>
      </c>
      <c r="E275" t="s">
        <v>1354</v>
      </c>
      <c r="F275" t="s">
        <v>1355</v>
      </c>
    </row>
    <row r="276" spans="1:6" x14ac:dyDescent="0.55000000000000004">
      <c r="A276" s="4" t="str">
        <f>GUIDE[[#This Row],[SITE]]&amp;"-"&amp;GUIDE[[#This Row],[TVGID]]</f>
        <v>mncvision.id-OutdoorChannel.us@SD</v>
      </c>
      <c r="B276" t="s">
        <v>1214</v>
      </c>
      <c r="C276" s="3" t="s">
        <v>1356</v>
      </c>
      <c r="D276" t="s">
        <v>939</v>
      </c>
      <c r="E276" t="s">
        <v>1357</v>
      </c>
      <c r="F276" t="s">
        <v>1358</v>
      </c>
    </row>
    <row r="277" spans="1:6" x14ac:dyDescent="0.55000000000000004">
      <c r="A277" s="4" t="str">
        <f>GUIDE[[#This Row],[SITE]]&amp;"-"&amp;GUIDE[[#This Row],[TVGID]]</f>
        <v>mncvision.id-RCTI.id@SD</v>
      </c>
      <c r="B277" t="s">
        <v>1214</v>
      </c>
      <c r="C277" s="3" t="s">
        <v>1050</v>
      </c>
      <c r="D277" t="s">
        <v>939</v>
      </c>
      <c r="E277" t="s">
        <v>639</v>
      </c>
      <c r="F277" t="s">
        <v>511</v>
      </c>
    </row>
    <row r="278" spans="1:6" x14ac:dyDescent="0.55000000000000004">
      <c r="A278" s="4" t="str">
        <f>GUIDE[[#This Row],[SITE]]&amp;"-"&amp;GUIDE[[#This Row],[TVGID]]</f>
        <v>mncvision.id-ROCKAction.sg@SD</v>
      </c>
      <c r="B278" t="s">
        <v>1214</v>
      </c>
      <c r="C278" s="3" t="s">
        <v>1359</v>
      </c>
      <c r="D278" t="s">
        <v>939</v>
      </c>
      <c r="E278" t="s">
        <v>928</v>
      </c>
      <c r="F278" t="s">
        <v>56</v>
      </c>
    </row>
    <row r="279" spans="1:6" x14ac:dyDescent="0.55000000000000004">
      <c r="A279" s="4" t="str">
        <f>GUIDE[[#This Row],[SITE]]&amp;"-"&amp;GUIDE[[#This Row],[TVGID]]</f>
        <v>mncvision.id-ROCKEntertainment.sg@SD</v>
      </c>
      <c r="B279" t="s">
        <v>1214</v>
      </c>
      <c r="C279" s="3" t="s">
        <v>997</v>
      </c>
      <c r="D279" t="s">
        <v>939</v>
      </c>
      <c r="E279" t="s">
        <v>583</v>
      </c>
      <c r="F279" t="s">
        <v>60</v>
      </c>
    </row>
    <row r="280" spans="1:6" x14ac:dyDescent="0.55000000000000004">
      <c r="A280" s="4" t="str">
        <f>GUIDE[[#This Row],[SITE]]&amp;"-"&amp;GUIDE[[#This Row],[TVGID]]</f>
        <v>mncvision.id-SCTV.id@SD</v>
      </c>
      <c r="B280" t="s">
        <v>1214</v>
      </c>
      <c r="C280" s="3" t="s">
        <v>1360</v>
      </c>
      <c r="D280" t="s">
        <v>939</v>
      </c>
      <c r="E280" t="s">
        <v>530</v>
      </c>
      <c r="F280" t="s">
        <v>38</v>
      </c>
    </row>
    <row r="281" spans="1:6" x14ac:dyDescent="0.55000000000000004">
      <c r="A281" s="4" t="str">
        <f>GUIDE[[#This Row],[SITE]]&amp;"-"&amp;GUIDE[[#This Row],[TVGID]]</f>
        <v>mncvision.id-SEAToday.id@SD</v>
      </c>
      <c r="B281" t="s">
        <v>1214</v>
      </c>
      <c r="C281" s="3" t="s">
        <v>1361</v>
      </c>
      <c r="D281" t="s">
        <v>939</v>
      </c>
      <c r="E281" t="s">
        <v>524</v>
      </c>
      <c r="F281" t="s">
        <v>1362</v>
      </c>
    </row>
    <row r="282" spans="1:6" x14ac:dyDescent="0.55000000000000004">
      <c r="A282" s="4" t="str">
        <f>GUIDE[[#This Row],[SITE]]&amp;"-"&amp;GUIDE[[#This Row],[TVGID]]</f>
        <v>mncvision.id-SindoNewsTV.id@SD</v>
      </c>
      <c r="B282" t="s">
        <v>1214</v>
      </c>
      <c r="C282" s="3" t="s">
        <v>1363</v>
      </c>
      <c r="D282" t="s">
        <v>939</v>
      </c>
      <c r="E282" t="s">
        <v>549</v>
      </c>
      <c r="F282" t="s">
        <v>1364</v>
      </c>
    </row>
    <row r="283" spans="1:6" x14ac:dyDescent="0.55000000000000004">
      <c r="A283" s="4" t="str">
        <f>GUIDE[[#This Row],[SITE]]&amp;"-"&amp;GUIDE[[#This Row],[TVGID]]</f>
        <v>mncvision.id-SoccerChannel.id@SD</v>
      </c>
      <c r="B283" t="s">
        <v>1214</v>
      </c>
      <c r="C283" s="3" t="s">
        <v>1365</v>
      </c>
      <c r="D283" t="s">
        <v>939</v>
      </c>
      <c r="E283" t="s">
        <v>1366</v>
      </c>
      <c r="F283" t="s">
        <v>1367</v>
      </c>
    </row>
    <row r="284" spans="1:6" x14ac:dyDescent="0.55000000000000004">
      <c r="A284" s="4" t="str">
        <f>GUIDE[[#This Row],[SITE]]&amp;"-"&amp;GUIDE[[#This Row],[TVGID]]</f>
        <v>mncvision.id-Sportstars.id@SD</v>
      </c>
      <c r="B284" t="s">
        <v>1214</v>
      </c>
      <c r="C284" s="3" t="s">
        <v>1070</v>
      </c>
      <c r="D284" t="s">
        <v>939</v>
      </c>
      <c r="E284" t="s">
        <v>1375</v>
      </c>
      <c r="F284" t="s">
        <v>1376</v>
      </c>
    </row>
    <row r="285" spans="1:6" x14ac:dyDescent="0.55000000000000004">
      <c r="A285" s="4" t="str">
        <f>GUIDE[[#This Row],[SITE]]&amp;"-"&amp;GUIDE[[#This Row],[TVGID]]</f>
        <v>mncvision.id-Sportstars2.id@SD</v>
      </c>
      <c r="B285" t="s">
        <v>1214</v>
      </c>
      <c r="C285" s="3" t="s">
        <v>1091</v>
      </c>
      <c r="D285" t="s">
        <v>939</v>
      </c>
      <c r="E285" t="s">
        <v>1368</v>
      </c>
      <c r="F285" t="s">
        <v>1369</v>
      </c>
    </row>
    <row r="286" spans="1:6" x14ac:dyDescent="0.55000000000000004">
      <c r="A286" s="4" t="str">
        <f>GUIDE[[#This Row],[SITE]]&amp;"-"&amp;GUIDE[[#This Row],[TVGID]]</f>
        <v>mncvision.id-Sportstars3.id@SD</v>
      </c>
      <c r="B286" t="s">
        <v>1214</v>
      </c>
      <c r="C286" s="3" t="s">
        <v>1370</v>
      </c>
      <c r="D286" t="s">
        <v>939</v>
      </c>
      <c r="E286" t="s">
        <v>1371</v>
      </c>
      <c r="F286" t="s">
        <v>1372</v>
      </c>
    </row>
    <row r="287" spans="1:6" x14ac:dyDescent="0.55000000000000004">
      <c r="A287" s="4" t="str">
        <f>GUIDE[[#This Row],[SITE]]&amp;"-"&amp;GUIDE[[#This Row],[TVGID]]</f>
        <v>mncvision.id-Sportstars4.id@SD</v>
      </c>
      <c r="B287" t="s">
        <v>1214</v>
      </c>
      <c r="C287" s="3" t="s">
        <v>1046</v>
      </c>
      <c r="D287" t="s">
        <v>939</v>
      </c>
      <c r="E287" t="s">
        <v>1373</v>
      </c>
      <c r="F287" t="s">
        <v>1374</v>
      </c>
    </row>
    <row r="288" spans="1:6" x14ac:dyDescent="0.55000000000000004">
      <c r="A288" s="4" t="str">
        <f>GUIDE[[#This Row],[SITE]]&amp;"-"&amp;GUIDE[[#This Row],[TVGID]]</f>
        <v>mncvision.id-SPOTV.id@SD</v>
      </c>
      <c r="B288" t="s">
        <v>1214</v>
      </c>
      <c r="C288" s="3" t="s">
        <v>1378</v>
      </c>
      <c r="D288" t="s">
        <v>939</v>
      </c>
      <c r="E288" t="s">
        <v>614</v>
      </c>
      <c r="F288" t="s">
        <v>309</v>
      </c>
    </row>
    <row r="289" spans="1:6" x14ac:dyDescent="0.55000000000000004">
      <c r="A289" s="4" t="str">
        <f>GUIDE[[#This Row],[SITE]]&amp;"-"&amp;GUIDE[[#This Row],[TVGID]]</f>
        <v>mncvision.id-SPOTV2.id@SD</v>
      </c>
      <c r="B289" t="s">
        <v>1214</v>
      </c>
      <c r="C289" s="3" t="s">
        <v>1377</v>
      </c>
      <c r="D289" t="s">
        <v>939</v>
      </c>
      <c r="E289" t="s">
        <v>615</v>
      </c>
      <c r="F289" t="s">
        <v>310</v>
      </c>
    </row>
    <row r="290" spans="1:6" x14ac:dyDescent="0.55000000000000004">
      <c r="A290" s="4" t="str">
        <f>GUIDE[[#This Row],[SITE]]&amp;"-"&amp;GUIDE[[#This Row],[TVGID]]</f>
        <v>mncvision.id-StudioUniversalLatinAmerica.us@Brazil</v>
      </c>
      <c r="B290" t="s">
        <v>1214</v>
      </c>
      <c r="C290" s="3" t="s">
        <v>1379</v>
      </c>
      <c r="D290" t="s">
        <v>939</v>
      </c>
      <c r="E290" t="s">
        <v>377</v>
      </c>
      <c r="F290" t="s">
        <v>320</v>
      </c>
    </row>
    <row r="291" spans="1:6" x14ac:dyDescent="0.55000000000000004">
      <c r="A291" s="4" t="str">
        <f>GUIDE[[#This Row],[SITE]]&amp;"-"&amp;GUIDE[[#This Row],[TVGID]]</f>
        <v>mncvision.id-Thrill.hk@SD</v>
      </c>
      <c r="B291" t="s">
        <v>1214</v>
      </c>
      <c r="C291" s="3" t="s">
        <v>1380</v>
      </c>
      <c r="D291" t="s">
        <v>939</v>
      </c>
      <c r="E291" t="s">
        <v>604</v>
      </c>
      <c r="F291" t="s">
        <v>70</v>
      </c>
    </row>
    <row r="292" spans="1:6" x14ac:dyDescent="0.55000000000000004">
      <c r="A292" s="4" t="str">
        <f>GUIDE[[#This Row],[SITE]]&amp;"-"&amp;GUIDE[[#This Row],[TVGID]]</f>
        <v>mncvision.id-Trans7.id@SD</v>
      </c>
      <c r="B292" t="s">
        <v>1214</v>
      </c>
      <c r="C292" s="3" t="s">
        <v>1381</v>
      </c>
      <c r="D292" t="s">
        <v>939</v>
      </c>
      <c r="E292" t="s">
        <v>528</v>
      </c>
      <c r="F292" t="s">
        <v>1023</v>
      </c>
    </row>
    <row r="293" spans="1:6" x14ac:dyDescent="0.55000000000000004">
      <c r="A293" s="4" t="str">
        <f>GUIDE[[#This Row],[SITE]]&amp;"-"&amp;GUIDE[[#This Row],[TVGID]]</f>
        <v>mncvision.id-TransTV.id@SD</v>
      </c>
      <c r="B293" t="s">
        <v>1214</v>
      </c>
      <c r="C293" s="3" t="s">
        <v>1382</v>
      </c>
      <c r="D293" t="s">
        <v>939</v>
      </c>
      <c r="E293" t="s">
        <v>527</v>
      </c>
      <c r="F293" t="s">
        <v>853</v>
      </c>
    </row>
    <row r="294" spans="1:6" x14ac:dyDescent="0.55000000000000004">
      <c r="A294" s="4" t="str">
        <f>GUIDE[[#This Row],[SITE]]&amp;"-"&amp;GUIDE[[#This Row],[TVGID]]</f>
        <v>mncvision.id-tvNAsia.hk@HD</v>
      </c>
      <c r="B294" t="s">
        <v>1214</v>
      </c>
      <c r="C294" s="3" t="s">
        <v>1383</v>
      </c>
      <c r="D294" t="s">
        <v>939</v>
      </c>
      <c r="E294" t="s">
        <v>1384</v>
      </c>
      <c r="F294" t="s">
        <v>1385</v>
      </c>
    </row>
    <row r="295" spans="1:6" x14ac:dyDescent="0.55000000000000004">
      <c r="A295" s="4" t="str">
        <f>GUIDE[[#This Row],[SITE]]&amp;"-"&amp;GUIDE[[#This Row],[TVGID]]</f>
        <v>mncvision.id-tvNAsia.hk@SD</v>
      </c>
      <c r="B295" t="s">
        <v>1214</v>
      </c>
      <c r="C295" s="3" t="s">
        <v>1386</v>
      </c>
      <c r="D295" t="s">
        <v>939</v>
      </c>
      <c r="E295" t="s">
        <v>584</v>
      </c>
      <c r="F295" t="s">
        <v>865</v>
      </c>
    </row>
    <row r="296" spans="1:6" x14ac:dyDescent="0.55000000000000004">
      <c r="A296" s="4" t="str">
        <f>GUIDE[[#This Row],[SITE]]&amp;"-"&amp;GUIDE[[#This Row],[TVGID]]</f>
        <v>mncvision.id-tvNMoviesAsia.hk@HD</v>
      </c>
      <c r="B296" t="s">
        <v>1214</v>
      </c>
      <c r="C296" s="3" t="s">
        <v>1387</v>
      </c>
      <c r="D296" t="s">
        <v>939</v>
      </c>
      <c r="E296" t="s">
        <v>1388</v>
      </c>
      <c r="F296" t="s">
        <v>1389</v>
      </c>
    </row>
    <row r="297" spans="1:6" x14ac:dyDescent="0.55000000000000004">
      <c r="A297" s="4" t="str">
        <f>GUIDE[[#This Row],[SITE]]&amp;"-"&amp;GUIDE[[#This Row],[TVGID]]</f>
        <v>mncvision.id-tvNMoviesAsia.hk@SD</v>
      </c>
      <c r="B297" t="s">
        <v>1214</v>
      </c>
      <c r="C297" s="3" t="s">
        <v>1390</v>
      </c>
      <c r="D297" t="s">
        <v>939</v>
      </c>
      <c r="E297" t="s">
        <v>606</v>
      </c>
      <c r="F297" t="s">
        <v>867</v>
      </c>
    </row>
    <row r="298" spans="1:6" x14ac:dyDescent="0.55000000000000004">
      <c r="A298" s="4" t="str">
        <f>GUIDE[[#This Row],[SITE]]&amp;"-"&amp;GUIDE[[#This Row],[TVGID]]</f>
        <v>mncvision.id-tvOne.id@SD</v>
      </c>
      <c r="B298" t="s">
        <v>1214</v>
      </c>
      <c r="C298" s="3" t="s">
        <v>1391</v>
      </c>
      <c r="D298" t="s">
        <v>939</v>
      </c>
      <c r="E298" t="s">
        <v>526</v>
      </c>
      <c r="F298" t="s">
        <v>1392</v>
      </c>
    </row>
    <row r="299" spans="1:6" x14ac:dyDescent="0.55000000000000004">
      <c r="A299" s="4" t="str">
        <f>GUIDE[[#This Row],[SITE]]&amp;"-"&amp;GUIDE[[#This Row],[TVGID]]</f>
        <v>mncvision.id-TVRI.id@SD</v>
      </c>
      <c r="B299" t="s">
        <v>1214</v>
      </c>
      <c r="C299" s="3" t="s">
        <v>1119</v>
      </c>
      <c r="D299" t="s">
        <v>939</v>
      </c>
      <c r="E299" t="s">
        <v>522</v>
      </c>
      <c r="F299" t="s">
        <v>83</v>
      </c>
    </row>
    <row r="300" spans="1:6" x14ac:dyDescent="0.55000000000000004">
      <c r="A300" s="4" t="str">
        <f>GUIDE[[#This Row],[SITE]]&amp;"-"&amp;GUIDE[[#This Row],[TVGID]]</f>
        <v>mncvision.id-VisionPrime.id@SD</v>
      </c>
      <c r="B300" t="s">
        <v>1214</v>
      </c>
      <c r="C300" s="3" t="s">
        <v>1077</v>
      </c>
      <c r="D300" t="s">
        <v>939</v>
      </c>
      <c r="E300" t="s">
        <v>1393</v>
      </c>
      <c r="F300" t="s">
        <v>1394</v>
      </c>
    </row>
    <row r="301" spans="1:6" x14ac:dyDescent="0.55000000000000004">
      <c r="A301" s="4" t="str">
        <f>GUIDE[[#This Row],[SITE]]&amp;"-"&amp;GUIDE[[#This Row],[TVGID]]</f>
        <v>mncvision.id-ZeeBioskop.id@SD</v>
      </c>
      <c r="B301" t="s">
        <v>1214</v>
      </c>
      <c r="C301" s="3" t="s">
        <v>1056</v>
      </c>
      <c r="D301" t="s">
        <v>939</v>
      </c>
      <c r="E301" t="s">
        <v>607</v>
      </c>
      <c r="F301" t="s">
        <v>874</v>
      </c>
    </row>
    <row r="302" spans="1:6" x14ac:dyDescent="0.55000000000000004">
      <c r="A302" s="4" t="str">
        <f>GUIDE[[#This Row],[SITE]]&amp;"-"&amp;GUIDE[[#This Row],[TVGID]]</f>
        <v>mncvision.id-ZooMoo.sg@SD</v>
      </c>
      <c r="B302" t="s">
        <v>1214</v>
      </c>
      <c r="C302" s="3" t="s">
        <v>1395</v>
      </c>
      <c r="D302" t="s">
        <v>939</v>
      </c>
      <c r="E302" t="s">
        <v>1396</v>
      </c>
      <c r="F302" t="s">
        <v>1397</v>
      </c>
    </row>
    <row r="303" spans="1:6" x14ac:dyDescent="0.55000000000000004">
      <c r="A303" s="4" t="str">
        <f>GUIDE[[#This Row],[SITE]]&amp;"-"&amp;GUIDE[[#This Row],[TVGID]]</f>
        <v>nowplayer.now.com-ABCAustralia.au@SD</v>
      </c>
      <c r="B303" t="s">
        <v>922</v>
      </c>
      <c r="C303" s="3" t="s">
        <v>1398</v>
      </c>
      <c r="D303" t="s">
        <v>920</v>
      </c>
      <c r="E303" t="s">
        <v>590</v>
      </c>
      <c r="F303" t="s">
        <v>96</v>
      </c>
    </row>
    <row r="304" spans="1:6" x14ac:dyDescent="0.55000000000000004">
      <c r="A304" s="4" t="str">
        <f>GUIDE[[#This Row],[SITE]]&amp;"-"&amp;GUIDE[[#This Row],[TVGID]]</f>
        <v>nowplayer.now.com-AlJazeera.qa@English</v>
      </c>
      <c r="B304" t="s">
        <v>922</v>
      </c>
      <c r="C304" s="3" t="s">
        <v>1399</v>
      </c>
      <c r="D304" t="s">
        <v>920</v>
      </c>
      <c r="E304" t="s">
        <v>1042</v>
      </c>
      <c r="F304" t="s">
        <v>1043</v>
      </c>
    </row>
    <row r="305" spans="1:6" x14ac:dyDescent="0.55000000000000004">
      <c r="A305" s="4" t="str">
        <f>GUIDE[[#This Row],[SITE]]&amp;"-"&amp;GUIDE[[#This Row],[TVGID]]</f>
        <v>nowplayer.now.com-AnimalPlanetSoutheastAsia.sg@SD</v>
      </c>
      <c r="B305" t="s">
        <v>922</v>
      </c>
      <c r="C305" s="3" t="s">
        <v>1024</v>
      </c>
      <c r="D305" t="s">
        <v>920</v>
      </c>
      <c r="E305" t="s">
        <v>553</v>
      </c>
      <c r="F305" t="s">
        <v>296</v>
      </c>
    </row>
    <row r="306" spans="1:6" x14ac:dyDescent="0.55000000000000004">
      <c r="A306" s="4" t="str">
        <f>GUIDE[[#This Row],[SITE]]&amp;"-"&amp;GUIDE[[#This Row],[TVGID]]</f>
        <v>nowplayer.now.com-AnimaxAsia.sg@SD</v>
      </c>
      <c r="B306" t="s">
        <v>922</v>
      </c>
      <c r="C306" s="3" t="s">
        <v>1400</v>
      </c>
      <c r="D306" t="s">
        <v>920</v>
      </c>
      <c r="E306" t="s">
        <v>576</v>
      </c>
      <c r="F306" t="s">
        <v>57</v>
      </c>
    </row>
    <row r="307" spans="1:6" x14ac:dyDescent="0.55000000000000004">
      <c r="A307" s="4" t="str">
        <f>GUIDE[[#This Row],[SITE]]&amp;"-"&amp;GUIDE[[#This Row],[TVGID]]</f>
        <v>nowplayer.now.com-AsianFoodNetwork.sg@SD</v>
      </c>
      <c r="B307" t="s">
        <v>922</v>
      </c>
      <c r="C307" s="3" t="s">
        <v>1401</v>
      </c>
      <c r="D307" t="s">
        <v>920</v>
      </c>
      <c r="E307" t="s">
        <v>569</v>
      </c>
      <c r="F307" t="s">
        <v>166</v>
      </c>
    </row>
    <row r="308" spans="1:6" x14ac:dyDescent="0.55000000000000004">
      <c r="A308" s="4" t="str">
        <f>GUIDE[[#This Row],[SITE]]&amp;"-"&amp;GUIDE[[#This Row],[TVGID]]</f>
        <v>nowplayer.now.com-AstroCricket.my@SD</v>
      </c>
      <c r="B308" t="s">
        <v>922</v>
      </c>
      <c r="C308" s="3" t="s">
        <v>1402</v>
      </c>
      <c r="D308" t="s">
        <v>920</v>
      </c>
      <c r="E308" t="s">
        <v>1403</v>
      </c>
      <c r="F308" t="s">
        <v>1404</v>
      </c>
    </row>
    <row r="309" spans="1:6" x14ac:dyDescent="0.55000000000000004">
      <c r="A309" s="4" t="str">
        <f>GUIDE[[#This Row],[SITE]]&amp;"-"&amp;GUIDE[[#This Row],[TVGID]]</f>
        <v>nowplayer.now.com-AXNAsia.sg@HongKong</v>
      </c>
      <c r="B309" t="s">
        <v>922</v>
      </c>
      <c r="C309" s="3" t="s">
        <v>1405</v>
      </c>
      <c r="D309" t="s">
        <v>920</v>
      </c>
      <c r="E309" t="s">
        <v>1406</v>
      </c>
      <c r="F309" t="s">
        <v>59</v>
      </c>
    </row>
    <row r="310" spans="1:6" x14ac:dyDescent="0.55000000000000004">
      <c r="A310" s="4" t="str">
        <f>GUIDE[[#This Row],[SITE]]&amp;"-"&amp;GUIDE[[#This Row],[TVGID]]</f>
        <v>nowplayer.now.com-BBCEarth.uk@Asia</v>
      </c>
      <c r="B310" t="s">
        <v>922</v>
      </c>
      <c r="C310" s="3" t="s">
        <v>991</v>
      </c>
      <c r="D310" t="s">
        <v>920</v>
      </c>
      <c r="E310" t="s">
        <v>1223</v>
      </c>
      <c r="F310" t="s">
        <v>1224</v>
      </c>
    </row>
    <row r="311" spans="1:6" x14ac:dyDescent="0.55000000000000004">
      <c r="A311" s="4" t="str">
        <f>GUIDE[[#This Row],[SITE]]&amp;"-"&amp;GUIDE[[#This Row],[TVGID]]</f>
        <v>nowplayer.now.com-BBCLifestyle.uk@Asia</v>
      </c>
      <c r="B311" t="s">
        <v>922</v>
      </c>
      <c r="C311" s="3" t="s">
        <v>1407</v>
      </c>
      <c r="D311" t="s">
        <v>920</v>
      </c>
      <c r="E311" t="s">
        <v>1408</v>
      </c>
      <c r="F311" t="s">
        <v>1409</v>
      </c>
    </row>
    <row r="312" spans="1:6" x14ac:dyDescent="0.55000000000000004">
      <c r="A312" s="4" t="str">
        <f>GUIDE[[#This Row],[SITE]]&amp;"-"&amp;GUIDE[[#This Row],[TVGID]]</f>
        <v>nowplayer.now.com-BBCNews.uk@AsiaPacific</v>
      </c>
      <c r="B312" t="s">
        <v>922</v>
      </c>
      <c r="C312" s="3" t="s">
        <v>1410</v>
      </c>
      <c r="D312" t="s">
        <v>920</v>
      </c>
      <c r="E312" t="s">
        <v>915</v>
      </c>
      <c r="F312" t="s">
        <v>644</v>
      </c>
    </row>
    <row r="313" spans="1:6" x14ac:dyDescent="0.55000000000000004">
      <c r="A313" s="4" t="str">
        <f>GUIDE[[#This Row],[SITE]]&amp;"-"&amp;GUIDE[[#This Row],[TVGID]]</f>
        <v>nowplayer.now.com-beINSports1.qa@HongKong</v>
      </c>
      <c r="B313" t="s">
        <v>922</v>
      </c>
      <c r="C313" s="3" t="s">
        <v>1411</v>
      </c>
      <c r="D313" t="s">
        <v>920</v>
      </c>
      <c r="E313" t="s">
        <v>1412</v>
      </c>
      <c r="F313" t="s">
        <v>1413</v>
      </c>
    </row>
    <row r="314" spans="1:6" x14ac:dyDescent="0.55000000000000004">
      <c r="A314" s="4" t="str">
        <f>GUIDE[[#This Row],[SITE]]&amp;"-"&amp;GUIDE[[#This Row],[TVGID]]</f>
        <v>nowplayer.now.com-beINSports2.qa@HongKong</v>
      </c>
      <c r="B314" t="s">
        <v>922</v>
      </c>
      <c r="C314" s="3" t="s">
        <v>1414</v>
      </c>
      <c r="D314" t="s">
        <v>920</v>
      </c>
      <c r="E314" t="s">
        <v>1415</v>
      </c>
      <c r="F314" t="s">
        <v>1416</v>
      </c>
    </row>
    <row r="315" spans="1:6" x14ac:dyDescent="0.55000000000000004">
      <c r="A315" s="4" t="str">
        <f>GUIDE[[#This Row],[SITE]]&amp;"-"&amp;GUIDE[[#This Row],[TVGID]]</f>
        <v>nowplayer.now.com-beINSports6.qa@MENA</v>
      </c>
      <c r="B315" t="s">
        <v>922</v>
      </c>
      <c r="C315" s="3" t="s">
        <v>1417</v>
      </c>
      <c r="D315" t="s">
        <v>920</v>
      </c>
      <c r="E315" t="s">
        <v>1418</v>
      </c>
      <c r="F315" t="s">
        <v>1419</v>
      </c>
    </row>
    <row r="316" spans="1:6" x14ac:dyDescent="0.55000000000000004">
      <c r="A316" s="4" t="str">
        <f>GUIDE[[#This Row],[SITE]]&amp;"-"&amp;GUIDE[[#This Row],[TVGID]]</f>
        <v>nowplayer.now.com-beINSportsMax1.qa@MENA</v>
      </c>
      <c r="B316" t="s">
        <v>922</v>
      </c>
      <c r="C316" s="3" t="s">
        <v>1420</v>
      </c>
      <c r="D316" t="s">
        <v>920</v>
      </c>
      <c r="E316" t="s">
        <v>1421</v>
      </c>
      <c r="F316" t="s">
        <v>1422</v>
      </c>
    </row>
    <row r="317" spans="1:6" x14ac:dyDescent="0.55000000000000004">
      <c r="A317" s="4" t="str">
        <f>GUIDE[[#This Row],[SITE]]&amp;"-"&amp;GUIDE[[#This Row],[TVGID]]</f>
        <v>nowplayer.now.com-beINSportsMax2.qa@MENA</v>
      </c>
      <c r="B317" t="s">
        <v>922</v>
      </c>
      <c r="C317" s="3" t="s">
        <v>1423</v>
      </c>
      <c r="D317" t="s">
        <v>920</v>
      </c>
      <c r="E317" t="s">
        <v>1424</v>
      </c>
      <c r="F317" t="s">
        <v>1241</v>
      </c>
    </row>
    <row r="318" spans="1:6" x14ac:dyDescent="0.55000000000000004">
      <c r="A318" s="4" t="str">
        <f>GUIDE[[#This Row],[SITE]]&amp;"-"&amp;GUIDE[[#This Row],[TVGID]]</f>
        <v>nowplayer.now.com-beINSportsMax3.qa@MENA</v>
      </c>
      <c r="B318" t="s">
        <v>922</v>
      </c>
      <c r="C318" s="3" t="s">
        <v>1425</v>
      </c>
      <c r="D318" t="s">
        <v>920</v>
      </c>
      <c r="E318" t="s">
        <v>1426</v>
      </c>
      <c r="F318" t="s">
        <v>1244</v>
      </c>
    </row>
    <row r="319" spans="1:6" x14ac:dyDescent="0.55000000000000004">
      <c r="A319" s="4" t="str">
        <f>GUIDE[[#This Row],[SITE]]&amp;"-"&amp;GUIDE[[#This Row],[TVGID]]</f>
        <v>nowplayer.now.com-BloombergTV.us@Asia</v>
      </c>
      <c r="B319" t="s">
        <v>922</v>
      </c>
      <c r="C319" s="3" t="s">
        <v>1427</v>
      </c>
      <c r="D319" t="s">
        <v>920</v>
      </c>
      <c r="E319" t="s">
        <v>374</v>
      </c>
      <c r="F319" t="s">
        <v>1428</v>
      </c>
    </row>
    <row r="320" spans="1:6" x14ac:dyDescent="0.55000000000000004">
      <c r="A320" s="4" t="str">
        <f>GUIDE[[#This Row],[SITE]]&amp;"-"&amp;GUIDE[[#This Row],[TVGID]]</f>
        <v>nowplayer.now.com-CartoonNetworkAsia.sg@SD</v>
      </c>
      <c r="B320" t="s">
        <v>922</v>
      </c>
      <c r="C320" s="3" t="s">
        <v>1429</v>
      </c>
      <c r="D320" t="s">
        <v>920</v>
      </c>
      <c r="E320" t="s">
        <v>563</v>
      </c>
      <c r="F320" t="s">
        <v>52</v>
      </c>
    </row>
    <row r="321" spans="1:6" x14ac:dyDescent="0.55000000000000004">
      <c r="A321" s="4" t="str">
        <f>GUIDE[[#This Row],[SITE]]&amp;"-"&amp;GUIDE[[#This Row],[TVGID]]</f>
        <v>nowplayer.now.com-CBeebiesAsia.uk@SD</v>
      </c>
      <c r="B321" t="s">
        <v>922</v>
      </c>
      <c r="C321" s="3" t="s">
        <v>1430</v>
      </c>
      <c r="D321" t="s">
        <v>920</v>
      </c>
      <c r="E321" t="s">
        <v>657</v>
      </c>
      <c r="F321" t="s">
        <v>647</v>
      </c>
    </row>
    <row r="322" spans="1:6" x14ac:dyDescent="0.55000000000000004">
      <c r="A322" s="4" t="str">
        <f>GUIDE[[#This Row],[SITE]]&amp;"-"&amp;GUIDE[[#This Row],[TVGID]]</f>
        <v>nowplayer.now.com-CCTV1.cn@SD</v>
      </c>
      <c r="B322" t="s">
        <v>922</v>
      </c>
      <c r="C322" s="3" t="s">
        <v>1431</v>
      </c>
      <c r="D322" t="s">
        <v>920</v>
      </c>
      <c r="E322" t="s">
        <v>1432</v>
      </c>
      <c r="F322" t="s">
        <v>1433</v>
      </c>
    </row>
    <row r="323" spans="1:6" x14ac:dyDescent="0.55000000000000004">
      <c r="A323" s="4" t="str">
        <f>GUIDE[[#This Row],[SITE]]&amp;"-"&amp;GUIDE[[#This Row],[TVGID]]</f>
        <v>nowplayer.now.com-CCTV13.cn@SD</v>
      </c>
      <c r="B323" t="s">
        <v>922</v>
      </c>
      <c r="C323" s="3" t="s">
        <v>1435</v>
      </c>
      <c r="D323" t="s">
        <v>920</v>
      </c>
      <c r="E323" t="s">
        <v>1436</v>
      </c>
      <c r="F323" t="s">
        <v>1437</v>
      </c>
    </row>
    <row r="324" spans="1:6" x14ac:dyDescent="0.55000000000000004">
      <c r="A324" s="4" t="str">
        <f>GUIDE[[#This Row],[SITE]]&amp;"-"&amp;GUIDE[[#This Row],[TVGID]]</f>
        <v>nowplayer.now.com-CCTV4Asia.cn@SD</v>
      </c>
      <c r="B324" t="s">
        <v>922</v>
      </c>
      <c r="C324" s="3" t="s">
        <v>1434</v>
      </c>
      <c r="D324" t="s">
        <v>920</v>
      </c>
      <c r="E324" t="s">
        <v>592</v>
      </c>
      <c r="F324" t="s">
        <v>1052</v>
      </c>
    </row>
    <row r="325" spans="1:6" x14ac:dyDescent="0.55000000000000004">
      <c r="A325" s="4" t="str">
        <f>GUIDE[[#This Row],[SITE]]&amp;"-"&amp;GUIDE[[#This Row],[TVGID]]</f>
        <v>nowplayer.now.com-CGTN.cn@SD</v>
      </c>
      <c r="B325" t="s">
        <v>922</v>
      </c>
      <c r="C325" s="3" t="s">
        <v>1284</v>
      </c>
      <c r="D325" t="s">
        <v>920</v>
      </c>
      <c r="E325" t="s">
        <v>951</v>
      </c>
      <c r="F325" t="s">
        <v>709</v>
      </c>
    </row>
    <row r="326" spans="1:6" x14ac:dyDescent="0.55000000000000004">
      <c r="A326" s="4" t="str">
        <f>GUIDE[[#This Row],[SITE]]&amp;"-"&amp;GUIDE[[#This Row],[TVGID]]</f>
        <v>nowplayer.now.com-ChannelAdult.hk@SD</v>
      </c>
      <c r="B326" t="s">
        <v>922</v>
      </c>
      <c r="C326" s="3" t="s">
        <v>1438</v>
      </c>
      <c r="D326" t="s">
        <v>920</v>
      </c>
      <c r="E326" t="s">
        <v>1439</v>
      </c>
      <c r="F326" t="s">
        <v>1440</v>
      </c>
    </row>
    <row r="327" spans="1:6" x14ac:dyDescent="0.55000000000000004">
      <c r="A327" s="4" t="str">
        <f>GUIDE[[#This Row],[SITE]]&amp;"-"&amp;GUIDE[[#This Row],[TVGID]]</f>
        <v>nowplayer.now.com-CinemaxAsia.sg@SD</v>
      </c>
      <c r="B327" t="s">
        <v>922</v>
      </c>
      <c r="C327" s="3" t="s">
        <v>1315</v>
      </c>
      <c r="D327" t="s">
        <v>920</v>
      </c>
      <c r="E327" t="s">
        <v>600</v>
      </c>
      <c r="F327" t="s">
        <v>495</v>
      </c>
    </row>
    <row r="328" spans="1:6" x14ac:dyDescent="0.55000000000000004">
      <c r="A328" s="4" t="str">
        <f>GUIDE[[#This Row],[SITE]]&amp;"-"&amp;GUIDE[[#This Row],[TVGID]]</f>
        <v>nowplayer.now.com-CNA.sg@SD</v>
      </c>
      <c r="B328" t="s">
        <v>922</v>
      </c>
      <c r="C328" s="3" t="s">
        <v>1441</v>
      </c>
      <c r="D328" t="s">
        <v>920</v>
      </c>
      <c r="E328" t="s">
        <v>627</v>
      </c>
      <c r="F328" t="s">
        <v>956</v>
      </c>
    </row>
    <row r="329" spans="1:6" x14ac:dyDescent="0.55000000000000004">
      <c r="A329" s="4" t="str">
        <f>GUIDE[[#This Row],[SITE]]&amp;"-"&amp;GUIDE[[#This Row],[TVGID]]</f>
        <v>nowplayer.now.com-CNBCAsia.sg@SD</v>
      </c>
      <c r="B329" t="s">
        <v>922</v>
      </c>
      <c r="C329" s="3" t="s">
        <v>1442</v>
      </c>
      <c r="D329" t="s">
        <v>920</v>
      </c>
      <c r="E329" t="s">
        <v>626</v>
      </c>
      <c r="F329" t="s">
        <v>1287</v>
      </c>
    </row>
    <row r="330" spans="1:6" x14ac:dyDescent="0.55000000000000004">
      <c r="A330" s="4" t="str">
        <f>GUIDE[[#This Row],[SITE]]&amp;"-"&amp;GUIDE[[#This Row],[TVGID]]</f>
        <v>nowplayer.now.com-CNNInternational.us@AsiaPacific</v>
      </c>
      <c r="B330" t="s">
        <v>922</v>
      </c>
      <c r="C330" s="3" t="s">
        <v>1443</v>
      </c>
      <c r="D330" t="s">
        <v>920</v>
      </c>
      <c r="E330" t="s">
        <v>373</v>
      </c>
      <c r="F330" t="s">
        <v>237</v>
      </c>
    </row>
    <row r="331" spans="1:6" x14ac:dyDescent="0.55000000000000004">
      <c r="A331" s="4" t="str">
        <f>GUIDE[[#This Row],[SITE]]&amp;"-"&amp;GUIDE[[#This Row],[TVGID]]</f>
        <v>nowplayer.now.com-ColorsAsiaPacific.in@SD</v>
      </c>
      <c r="B331" t="s">
        <v>922</v>
      </c>
      <c r="C331" s="3" t="s">
        <v>1444</v>
      </c>
      <c r="D331" t="s">
        <v>920</v>
      </c>
      <c r="E331" t="s">
        <v>1445</v>
      </c>
      <c r="F331" t="s">
        <v>1446</v>
      </c>
    </row>
    <row r="332" spans="1:6" x14ac:dyDescent="0.55000000000000004">
      <c r="A332" s="4" t="str">
        <f>GUIDE[[#This Row],[SITE]]&amp;"-"&amp;GUIDE[[#This Row],[TVGID]]</f>
        <v>nowplayer.now.com-CrimePlusInvestigationAsia.sg@SD</v>
      </c>
      <c r="B332" t="s">
        <v>922</v>
      </c>
      <c r="C332" s="3" t="s">
        <v>995</v>
      </c>
      <c r="D332" t="s">
        <v>920</v>
      </c>
      <c r="E332" t="s">
        <v>554</v>
      </c>
      <c r="F332" t="s">
        <v>1447</v>
      </c>
    </row>
    <row r="333" spans="1:6" x14ac:dyDescent="0.55000000000000004">
      <c r="A333" s="4" t="str">
        <f>GUIDE[[#This Row],[SITE]]&amp;"-"&amp;GUIDE[[#This Row],[TVGID]]</f>
        <v>nowplayer.now.com-CTiAsia.tw@SD</v>
      </c>
      <c r="B333" t="s">
        <v>922</v>
      </c>
      <c r="C333" s="3" t="s">
        <v>1448</v>
      </c>
      <c r="D333" t="s">
        <v>920</v>
      </c>
      <c r="E333" t="s">
        <v>1449</v>
      </c>
      <c r="F333" t="s">
        <v>1450</v>
      </c>
    </row>
    <row r="334" spans="1:6" x14ac:dyDescent="0.55000000000000004">
      <c r="A334" s="4" t="str">
        <f>GUIDE[[#This Row],[SITE]]&amp;"-"&amp;GUIDE[[#This Row],[TVGID]]</f>
        <v>nowplayer.now.com-DaVinciAsia.de@SD</v>
      </c>
      <c r="B334" t="s">
        <v>922</v>
      </c>
      <c r="C334" s="3" t="s">
        <v>1353</v>
      </c>
      <c r="D334" t="s">
        <v>920</v>
      </c>
      <c r="E334" t="s">
        <v>560</v>
      </c>
      <c r="F334" t="s">
        <v>1451</v>
      </c>
    </row>
    <row r="335" spans="1:6" x14ac:dyDescent="0.55000000000000004">
      <c r="A335" s="4" t="str">
        <f>GUIDE[[#This Row],[SITE]]&amp;"-"&amp;GUIDE[[#This Row],[TVGID]]</f>
        <v>nowplayer.now.com-DiscoveryAsia.sg@SD</v>
      </c>
      <c r="B335" t="s">
        <v>922</v>
      </c>
      <c r="C335" s="3" t="s">
        <v>975</v>
      </c>
      <c r="D335" t="s">
        <v>920</v>
      </c>
      <c r="E335" t="s">
        <v>558</v>
      </c>
      <c r="F335" t="s">
        <v>294</v>
      </c>
    </row>
    <row r="336" spans="1:6" x14ac:dyDescent="0.55000000000000004">
      <c r="A336" s="4" t="str">
        <f>GUIDE[[#This Row],[SITE]]&amp;"-"&amp;GUIDE[[#This Row],[TVGID]]</f>
        <v>nowplayer.now.com-DiscoveryChannelSoutheastAsia.sg@SD</v>
      </c>
      <c r="B336" t="s">
        <v>922</v>
      </c>
      <c r="C336" s="3" t="s">
        <v>955</v>
      </c>
      <c r="D336" t="s">
        <v>920</v>
      </c>
      <c r="E336" t="s">
        <v>921</v>
      </c>
      <c r="F336" t="s">
        <v>49</v>
      </c>
    </row>
    <row r="337" spans="1:6" x14ac:dyDescent="0.55000000000000004">
      <c r="A337" s="4" t="str">
        <f>GUIDE[[#This Row],[SITE]]&amp;"-"&amp;GUIDE[[#This Row],[TVGID]]</f>
        <v>nowplayer.now.com-DiscoveryScienceSoutheastAsia.sg@SD</v>
      </c>
      <c r="B337" t="s">
        <v>922</v>
      </c>
      <c r="C337" s="3" t="s">
        <v>993</v>
      </c>
      <c r="D337" t="s">
        <v>920</v>
      </c>
      <c r="E337" t="s">
        <v>1452</v>
      </c>
      <c r="F337" t="s">
        <v>1453</v>
      </c>
    </row>
    <row r="338" spans="1:6" x14ac:dyDescent="0.55000000000000004">
      <c r="A338" s="4" t="str">
        <f>GUIDE[[#This Row],[SITE]]&amp;"-"&amp;GUIDE[[#This Row],[TVGID]]</f>
        <v>nowplayer.now.com-DMAXSoutheastAsia.sg@SD</v>
      </c>
      <c r="B338" t="s">
        <v>922</v>
      </c>
      <c r="C338" s="3" t="s">
        <v>959</v>
      </c>
      <c r="D338" t="s">
        <v>920</v>
      </c>
      <c r="E338" t="s">
        <v>1454</v>
      </c>
      <c r="F338" t="s">
        <v>1455</v>
      </c>
    </row>
    <row r="339" spans="1:6" x14ac:dyDescent="0.55000000000000004">
      <c r="A339" s="4" t="str">
        <f>GUIDE[[#This Row],[SITE]]&amp;"-"&amp;GUIDE[[#This Row],[TVGID]]</f>
        <v>nowplayer.now.com-DragonTV.cn@SD</v>
      </c>
      <c r="B339" t="s">
        <v>922</v>
      </c>
      <c r="C339" s="3" t="s">
        <v>1456</v>
      </c>
      <c r="D339" t="s">
        <v>920</v>
      </c>
      <c r="E339" t="s">
        <v>1457</v>
      </c>
      <c r="F339" t="s">
        <v>1458</v>
      </c>
    </row>
    <row r="340" spans="1:6" x14ac:dyDescent="0.55000000000000004">
      <c r="A340" s="4" t="str">
        <f>GUIDE[[#This Row],[SITE]]&amp;"-"&amp;GUIDE[[#This Row],[TVGID]]</f>
        <v>nowplayer.now.com-DW.de@English</v>
      </c>
      <c r="B340" t="s">
        <v>922</v>
      </c>
      <c r="C340" s="3" t="s">
        <v>1459</v>
      </c>
      <c r="D340" t="s">
        <v>920</v>
      </c>
      <c r="E340" t="s">
        <v>376</v>
      </c>
      <c r="F340" t="s">
        <v>239</v>
      </c>
    </row>
    <row r="341" spans="1:6" x14ac:dyDescent="0.55000000000000004">
      <c r="A341" s="4" t="str">
        <f>GUIDE[[#This Row],[SITE]]&amp;"-"&amp;GUIDE[[#This Row],[TVGID]]</f>
        <v>nowplayer.now.com-EuronewsEnglish.fr@SD</v>
      </c>
      <c r="B341" t="s">
        <v>922</v>
      </c>
      <c r="C341" s="3" t="s">
        <v>1460</v>
      </c>
      <c r="D341" t="s">
        <v>920</v>
      </c>
      <c r="E341" t="s">
        <v>625</v>
      </c>
      <c r="F341" t="s">
        <v>240</v>
      </c>
    </row>
    <row r="342" spans="1:6" x14ac:dyDescent="0.55000000000000004">
      <c r="A342" s="4" t="str">
        <f>GUIDE[[#This Row],[SITE]]&amp;"-"&amp;GUIDE[[#This Row],[TVGID]]</f>
        <v>nowplayer.now.com-FoodNetworkAsia.sg@SD</v>
      </c>
      <c r="B342" t="s">
        <v>922</v>
      </c>
      <c r="C342" s="3" t="s">
        <v>1461</v>
      </c>
      <c r="D342" t="s">
        <v>920</v>
      </c>
      <c r="E342" t="s">
        <v>1462</v>
      </c>
      <c r="F342" t="s">
        <v>1463</v>
      </c>
    </row>
    <row r="343" spans="1:6" x14ac:dyDescent="0.55000000000000004">
      <c r="A343" s="4" t="str">
        <f>GUIDE[[#This Row],[SITE]]&amp;"-"&amp;GUIDE[[#This Row],[TVGID]]</f>
        <v>nowplayer.now.com-France24.fr@English</v>
      </c>
      <c r="B343" t="s">
        <v>922</v>
      </c>
      <c r="C343" s="3" t="s">
        <v>1464</v>
      </c>
      <c r="D343" t="s">
        <v>920</v>
      </c>
      <c r="E343" t="s">
        <v>375</v>
      </c>
      <c r="F343" t="s">
        <v>78</v>
      </c>
    </row>
    <row r="344" spans="1:6" x14ac:dyDescent="0.55000000000000004">
      <c r="A344" s="4" t="str">
        <f>GUIDE[[#This Row],[SITE]]&amp;"-"&amp;GUIDE[[#This Row],[TVGID]]</f>
        <v>nowplayer.now.com-France24.fr@French</v>
      </c>
      <c r="B344" t="s">
        <v>922</v>
      </c>
      <c r="C344" s="3" t="s">
        <v>1465</v>
      </c>
      <c r="D344" t="s">
        <v>920</v>
      </c>
      <c r="E344" t="s">
        <v>1466</v>
      </c>
      <c r="F344" t="s">
        <v>1467</v>
      </c>
    </row>
    <row r="345" spans="1:6" x14ac:dyDescent="0.55000000000000004">
      <c r="A345" s="4" t="str">
        <f>GUIDE[[#This Row],[SITE]]&amp;"-"&amp;GUIDE[[#This Row],[TVGID]]</f>
        <v>nowplayer.now.com-GMALifeTV.ph@SD</v>
      </c>
      <c r="B345" t="s">
        <v>922</v>
      </c>
      <c r="C345" s="3" t="s">
        <v>1468</v>
      </c>
      <c r="D345" t="s">
        <v>920</v>
      </c>
      <c r="E345" t="s">
        <v>1469</v>
      </c>
      <c r="F345" t="s">
        <v>1470</v>
      </c>
    </row>
    <row r="346" spans="1:6" x14ac:dyDescent="0.55000000000000004">
      <c r="A346" s="4" t="str">
        <f>GUIDE[[#This Row],[SITE]]&amp;"-"&amp;GUIDE[[#This Row],[TVGID]]</f>
        <v>nowplayer.now.com-GMANewsTV.ph@SD</v>
      </c>
      <c r="B346" t="s">
        <v>922</v>
      </c>
      <c r="C346" s="3" t="s">
        <v>1471</v>
      </c>
      <c r="D346" t="s">
        <v>920</v>
      </c>
      <c r="E346" t="s">
        <v>1472</v>
      </c>
      <c r="F346" t="s">
        <v>1473</v>
      </c>
    </row>
    <row r="347" spans="1:6" x14ac:dyDescent="0.55000000000000004">
      <c r="A347" s="4" t="str">
        <f>GUIDE[[#This Row],[SITE]]&amp;"-"&amp;GUIDE[[#This Row],[TVGID]]</f>
        <v>nowplayer.now.com-GMAPinoyTVAsiaPacific.ph@SD</v>
      </c>
      <c r="B347" t="s">
        <v>922</v>
      </c>
      <c r="C347" s="3" t="s">
        <v>1474</v>
      </c>
      <c r="D347" t="s">
        <v>920</v>
      </c>
      <c r="E347" t="s">
        <v>1475</v>
      </c>
      <c r="F347" t="s">
        <v>1476</v>
      </c>
    </row>
    <row r="348" spans="1:6" x14ac:dyDescent="0.55000000000000004">
      <c r="A348" s="4" t="str">
        <f>GUIDE[[#This Row],[SITE]]&amp;"-"&amp;GUIDE[[#This Row],[TVGID]]</f>
        <v>nowplayer.now.com-HBOAsia.sg@SD</v>
      </c>
      <c r="B348" t="s">
        <v>922</v>
      </c>
      <c r="C348" s="3" t="s">
        <v>1219</v>
      </c>
      <c r="D348" t="s">
        <v>920</v>
      </c>
      <c r="E348" t="s">
        <v>598</v>
      </c>
      <c r="F348" t="s">
        <v>66</v>
      </c>
    </row>
    <row r="349" spans="1:6" x14ac:dyDescent="0.55000000000000004">
      <c r="A349" s="4" t="str">
        <f>GUIDE[[#This Row],[SITE]]&amp;"-"&amp;GUIDE[[#This Row],[TVGID]]</f>
        <v>nowplayer.now.com-HBOFamilyAsia.sg@SD</v>
      </c>
      <c r="B349" t="s">
        <v>922</v>
      </c>
      <c r="C349" s="3" t="s">
        <v>1084</v>
      </c>
      <c r="D349" t="s">
        <v>920</v>
      </c>
      <c r="E349" t="s">
        <v>602</v>
      </c>
      <c r="F349" t="s">
        <v>69</v>
      </c>
    </row>
    <row r="350" spans="1:6" x14ac:dyDescent="0.55000000000000004">
      <c r="A350" s="4" t="str">
        <f>GUIDE[[#This Row],[SITE]]&amp;"-"&amp;GUIDE[[#This Row],[TVGID]]</f>
        <v>nowplayer.now.com-HBOHitsAsia.sg@SD</v>
      </c>
      <c r="B350" t="s">
        <v>922</v>
      </c>
      <c r="C350" s="3" t="s">
        <v>1332</v>
      </c>
      <c r="D350" t="s">
        <v>920</v>
      </c>
      <c r="E350" t="s">
        <v>601</v>
      </c>
      <c r="F350" t="s">
        <v>68</v>
      </c>
    </row>
    <row r="351" spans="1:6" x14ac:dyDescent="0.55000000000000004">
      <c r="A351" s="4" t="str">
        <f>GUIDE[[#This Row],[SITE]]&amp;"-"&amp;GUIDE[[#This Row],[TVGID]]</f>
        <v>nowplayer.now.com-HBOSignatureAsia.sg@SD</v>
      </c>
      <c r="B351" t="s">
        <v>922</v>
      </c>
      <c r="C351" s="3" t="s">
        <v>1477</v>
      </c>
      <c r="D351" t="s">
        <v>920</v>
      </c>
      <c r="E351" t="s">
        <v>599</v>
      </c>
      <c r="F351" t="s">
        <v>67</v>
      </c>
    </row>
    <row r="352" spans="1:6" x14ac:dyDescent="0.55000000000000004">
      <c r="A352" s="4" t="str">
        <f>GUIDE[[#This Row],[SITE]]&amp;"-"&amp;GUIDE[[#This Row],[TVGID]]</f>
        <v>nowplayer.now.com-HistoryAsia.us@SD</v>
      </c>
      <c r="B352" t="s">
        <v>922</v>
      </c>
      <c r="C352" s="3" t="s">
        <v>1035</v>
      </c>
      <c r="D352" t="s">
        <v>920</v>
      </c>
      <c r="E352" t="s">
        <v>556</v>
      </c>
      <c r="F352" t="s">
        <v>1478</v>
      </c>
    </row>
    <row r="353" spans="1:6" x14ac:dyDescent="0.55000000000000004">
      <c r="A353" s="4" t="str">
        <f>GUIDE[[#This Row],[SITE]]&amp;"-"&amp;GUIDE[[#This Row],[TVGID]]</f>
        <v>nowplayer.now.com-HITS.sg@SD</v>
      </c>
      <c r="B353" t="s">
        <v>922</v>
      </c>
      <c r="C353" s="3" t="s">
        <v>1479</v>
      </c>
      <c r="D353" t="s">
        <v>920</v>
      </c>
      <c r="E353" t="s">
        <v>580</v>
      </c>
      <c r="F353" t="s">
        <v>760</v>
      </c>
    </row>
    <row r="354" spans="1:6" x14ac:dyDescent="0.55000000000000004">
      <c r="A354" s="4" t="str">
        <f>GUIDE[[#This Row],[SITE]]&amp;"-"&amp;GUIDE[[#This Row],[TVGID]]</f>
        <v>nowplayer.now.com-HITSMovies.sg@SD</v>
      </c>
      <c r="B354" t="s">
        <v>922</v>
      </c>
      <c r="C354" s="3" t="s">
        <v>1480</v>
      </c>
      <c r="D354" t="s">
        <v>920</v>
      </c>
      <c r="E354" t="s">
        <v>603</v>
      </c>
      <c r="F354" t="s">
        <v>762</v>
      </c>
    </row>
    <row r="355" spans="1:6" x14ac:dyDescent="0.55000000000000004">
      <c r="A355" s="4" t="str">
        <f>GUIDE[[#This Row],[SITE]]&amp;"-"&amp;GUIDE[[#This Row],[TVGID]]</f>
        <v>nowplayer.now.com-IceFire.hk@SD</v>
      </c>
      <c r="B355" t="s">
        <v>922</v>
      </c>
      <c r="C355" s="3" t="s">
        <v>1481</v>
      </c>
      <c r="D355" t="s">
        <v>920</v>
      </c>
      <c r="E355" t="s">
        <v>1482</v>
      </c>
      <c r="F355" t="s">
        <v>1483</v>
      </c>
    </row>
    <row r="356" spans="1:6" x14ac:dyDescent="0.55000000000000004">
      <c r="A356" s="4" t="str">
        <f>GUIDE[[#This Row],[SITE]]&amp;"-"&amp;GUIDE[[#This Row],[TVGID]]</f>
        <v>nowplayer.now.com-iPanda.cn@SD</v>
      </c>
      <c r="B356" t="s">
        <v>922</v>
      </c>
      <c r="C356" s="3" t="s">
        <v>988</v>
      </c>
      <c r="D356" t="s">
        <v>920</v>
      </c>
      <c r="E356" t="s">
        <v>557</v>
      </c>
      <c r="F356" t="s">
        <v>334</v>
      </c>
    </row>
    <row r="357" spans="1:6" x14ac:dyDescent="0.55000000000000004">
      <c r="A357" s="4" t="str">
        <f>GUIDE[[#This Row],[SITE]]&amp;"-"&amp;GUIDE[[#This Row],[TVGID]]</f>
        <v>nowplayer.now.com-KBSWorld.kr@SD</v>
      </c>
      <c r="B357" t="s">
        <v>922</v>
      </c>
      <c r="C357" s="3" t="s">
        <v>1484</v>
      </c>
      <c r="D357" t="s">
        <v>920</v>
      </c>
      <c r="E357" t="s">
        <v>585</v>
      </c>
      <c r="F357" t="s">
        <v>61</v>
      </c>
    </row>
    <row r="358" spans="1:6" x14ac:dyDescent="0.55000000000000004">
      <c r="A358" s="4" t="str">
        <f>GUIDE[[#This Row],[SITE]]&amp;"-"&amp;GUIDE[[#This Row],[TVGID]]</f>
        <v>nowplayer.now.com-LifetimeAsia.us@SD</v>
      </c>
      <c r="B358" t="s">
        <v>922</v>
      </c>
      <c r="C358" s="3" t="s">
        <v>1485</v>
      </c>
      <c r="D358" t="s">
        <v>920</v>
      </c>
      <c r="E358" t="s">
        <v>578</v>
      </c>
      <c r="F358" t="s">
        <v>58</v>
      </c>
    </row>
    <row r="359" spans="1:6" x14ac:dyDescent="0.55000000000000004">
      <c r="A359" s="4" t="str">
        <f>GUIDE[[#This Row],[SITE]]&amp;"-"&amp;GUIDE[[#This Row],[TVGID]]</f>
        <v>nowplayer.now.com-LoveNature.ca@4K</v>
      </c>
      <c r="B359" t="s">
        <v>922</v>
      </c>
      <c r="C359" s="3" t="s">
        <v>984</v>
      </c>
      <c r="D359" t="s">
        <v>920</v>
      </c>
      <c r="E359" t="s">
        <v>1486</v>
      </c>
      <c r="F359" t="s">
        <v>1487</v>
      </c>
    </row>
    <row r="360" spans="1:6" x14ac:dyDescent="0.55000000000000004">
      <c r="A360" s="4" t="str">
        <f>GUIDE[[#This Row],[SITE]]&amp;"-"&amp;GUIDE[[#This Row],[TVGID]]</f>
        <v>nowplayer.now.com-LoveNature.ca@SD</v>
      </c>
      <c r="B360" t="s">
        <v>922</v>
      </c>
      <c r="C360" s="3" t="s">
        <v>1015</v>
      </c>
      <c r="D360" t="s">
        <v>920</v>
      </c>
      <c r="E360" t="s">
        <v>559</v>
      </c>
      <c r="F360" t="s">
        <v>298</v>
      </c>
    </row>
    <row r="361" spans="1:6" x14ac:dyDescent="0.55000000000000004">
      <c r="A361" s="4" t="str">
        <f>GUIDE[[#This Row],[SITE]]&amp;"-"&amp;GUIDE[[#This Row],[TVGID]]</f>
        <v>nowplayer.now.com-MoonbugKids.uk@SD</v>
      </c>
      <c r="B361" t="s">
        <v>922</v>
      </c>
      <c r="C361" s="3" t="s">
        <v>1488</v>
      </c>
      <c r="D361" t="s">
        <v>920</v>
      </c>
      <c r="E361" t="s">
        <v>658</v>
      </c>
      <c r="F361" t="s">
        <v>314</v>
      </c>
    </row>
    <row r="362" spans="1:6" x14ac:dyDescent="0.55000000000000004">
      <c r="A362" s="4" t="str">
        <f>GUIDE[[#This Row],[SITE]]&amp;"-"&amp;GUIDE[[#This Row],[TVGID]]</f>
        <v>nowplayer.now.com-MovieMovie.hk@SD</v>
      </c>
      <c r="B362" t="s">
        <v>922</v>
      </c>
      <c r="C362" s="3" t="s">
        <v>1329</v>
      </c>
      <c r="D362" t="s">
        <v>920</v>
      </c>
      <c r="E362" t="s">
        <v>1489</v>
      </c>
      <c r="F362" t="s">
        <v>1490</v>
      </c>
    </row>
    <row r="363" spans="1:6" x14ac:dyDescent="0.55000000000000004">
      <c r="A363" s="4" t="str">
        <f>GUIDE[[#This Row],[SITE]]&amp;"-"&amp;GUIDE[[#This Row],[TVGID]]</f>
        <v>nowplayer.now.com-MTV.in@SD</v>
      </c>
      <c r="B363" t="s">
        <v>922</v>
      </c>
      <c r="C363" s="3" t="s">
        <v>1491</v>
      </c>
      <c r="D363" t="s">
        <v>920</v>
      </c>
      <c r="E363" t="s">
        <v>1492</v>
      </c>
      <c r="F363" t="s">
        <v>1493</v>
      </c>
    </row>
    <row r="364" spans="1:6" x14ac:dyDescent="0.55000000000000004">
      <c r="A364" s="4" t="str">
        <f>GUIDE[[#This Row],[SITE]]&amp;"-"&amp;GUIDE[[#This Row],[TVGID]]</f>
        <v>nowplayer.now.com-MUTV.uk@SD</v>
      </c>
      <c r="B364" t="s">
        <v>922</v>
      </c>
      <c r="C364" s="3" t="s">
        <v>1494</v>
      </c>
      <c r="D364" t="s">
        <v>920</v>
      </c>
      <c r="E364" t="s">
        <v>1495</v>
      </c>
      <c r="F364" t="s">
        <v>1496</v>
      </c>
    </row>
    <row r="365" spans="1:6" x14ac:dyDescent="0.55000000000000004">
      <c r="A365" s="4" t="str">
        <f>GUIDE[[#This Row],[SITE]]&amp;"-"&amp;GUIDE[[#This Row],[TVGID]]</f>
        <v>nowplayer.now.com-NBATV.us@SD</v>
      </c>
      <c r="B365" t="s">
        <v>922</v>
      </c>
      <c r="C365" s="3" t="s">
        <v>1497</v>
      </c>
      <c r="D365" t="s">
        <v>920</v>
      </c>
      <c r="E365" t="s">
        <v>621</v>
      </c>
      <c r="F365" t="s">
        <v>1498</v>
      </c>
    </row>
    <row r="366" spans="1:6" x14ac:dyDescent="0.55000000000000004">
      <c r="A366" s="4" t="str">
        <f>GUIDE[[#This Row],[SITE]]&amp;"-"&amp;GUIDE[[#This Row],[TVGID]]</f>
        <v>nowplayer.now.com-NHKWorldJapan.jp@SD</v>
      </c>
      <c r="B366" t="s">
        <v>922</v>
      </c>
      <c r="C366" s="3" t="s">
        <v>1499</v>
      </c>
      <c r="D366" t="s">
        <v>920</v>
      </c>
      <c r="E366" t="s">
        <v>628</v>
      </c>
      <c r="F366" t="s">
        <v>1098</v>
      </c>
    </row>
    <row r="367" spans="1:6" x14ac:dyDescent="0.55000000000000004">
      <c r="A367" s="4" t="str">
        <f>GUIDE[[#This Row],[SITE]]&amp;"-"&amp;GUIDE[[#This Row],[TVGID]]</f>
        <v>nowplayer.now.com-NHKWorldPremium.jp@SD</v>
      </c>
      <c r="B367" t="s">
        <v>922</v>
      </c>
      <c r="C367" s="3" t="s">
        <v>1500</v>
      </c>
      <c r="D367" t="s">
        <v>920</v>
      </c>
      <c r="E367" t="s">
        <v>587</v>
      </c>
      <c r="F367" t="s">
        <v>1001</v>
      </c>
    </row>
    <row r="368" spans="1:6" x14ac:dyDescent="0.55000000000000004">
      <c r="A368" s="4" t="str">
        <f>GUIDE[[#This Row],[SITE]]&amp;"-"&amp;GUIDE[[#This Row],[TVGID]]</f>
        <v>nowplayer.now.com-NickelodeonAsia.sg@SD</v>
      </c>
      <c r="B368" t="s">
        <v>922</v>
      </c>
      <c r="C368" s="3" t="s">
        <v>1501</v>
      </c>
      <c r="D368" t="s">
        <v>920</v>
      </c>
      <c r="E368" t="s">
        <v>561</v>
      </c>
      <c r="F368" t="s">
        <v>51</v>
      </c>
    </row>
    <row r="369" spans="1:6" x14ac:dyDescent="0.55000000000000004">
      <c r="A369" s="4" t="str">
        <f>GUIDE[[#This Row],[SITE]]&amp;"-"&amp;GUIDE[[#This Row],[TVGID]]</f>
        <v>nowplayer.now.com-NickJrAsia.sg@SD</v>
      </c>
      <c r="B369" t="s">
        <v>922</v>
      </c>
      <c r="C369" s="3" t="s">
        <v>1502</v>
      </c>
      <c r="D369" t="s">
        <v>920</v>
      </c>
      <c r="E369" t="s">
        <v>562</v>
      </c>
      <c r="F369" t="s">
        <v>1503</v>
      </c>
    </row>
    <row r="370" spans="1:6" x14ac:dyDescent="0.55000000000000004">
      <c r="A370" s="4" t="str">
        <f>GUIDE[[#This Row],[SITE]]&amp;"-"&amp;GUIDE[[#This Row],[TVGID]]</f>
        <v>nowplayer.now.com-now668.hk@SD</v>
      </c>
      <c r="B370" t="s">
        <v>922</v>
      </c>
      <c r="C370" s="3" t="s">
        <v>1504</v>
      </c>
      <c r="D370" t="s">
        <v>920</v>
      </c>
      <c r="E370" t="s">
        <v>1505</v>
      </c>
      <c r="F370" t="s">
        <v>1506</v>
      </c>
    </row>
    <row r="371" spans="1:6" x14ac:dyDescent="0.55000000000000004">
      <c r="A371" s="4" t="str">
        <f>GUIDE[[#This Row],[SITE]]&amp;"-"&amp;GUIDE[[#This Row],[TVGID]]</f>
        <v>nowplayer.now.com-nowBaoguMovies.hk@SD</v>
      </c>
      <c r="B371" t="s">
        <v>922</v>
      </c>
      <c r="C371" s="3" t="s">
        <v>1507</v>
      </c>
      <c r="D371" t="s">
        <v>920</v>
      </c>
      <c r="E371" t="s">
        <v>1508</v>
      </c>
      <c r="F371" t="s">
        <v>1509</v>
      </c>
    </row>
    <row r="372" spans="1:6" x14ac:dyDescent="0.55000000000000004">
      <c r="A372" s="4" t="str">
        <f>GUIDE[[#This Row],[SITE]]&amp;"-"&amp;GUIDE[[#This Row],[TVGID]]</f>
        <v>nowplayer.now.com-nowBaoguSuperstars.hk@SD</v>
      </c>
      <c r="B372" t="s">
        <v>922</v>
      </c>
      <c r="C372" s="3" t="s">
        <v>1099</v>
      </c>
      <c r="D372" t="s">
        <v>920</v>
      </c>
      <c r="E372" t="s">
        <v>1510</v>
      </c>
      <c r="F372" t="s">
        <v>1511</v>
      </c>
    </row>
    <row r="373" spans="1:6" x14ac:dyDescent="0.55000000000000004">
      <c r="A373" s="4" t="str">
        <f>GUIDE[[#This Row],[SITE]]&amp;"-"&amp;GUIDE[[#This Row],[TVGID]]</f>
        <v>nowplayer.now.com-nowBusinessNewsChannel.hk@SD</v>
      </c>
      <c r="B373" t="s">
        <v>922</v>
      </c>
      <c r="C373" s="3" t="s">
        <v>1295</v>
      </c>
      <c r="D373" t="s">
        <v>920</v>
      </c>
      <c r="E373" t="s">
        <v>1512</v>
      </c>
      <c r="F373" t="s">
        <v>1513</v>
      </c>
    </row>
    <row r="374" spans="1:6" x14ac:dyDescent="0.55000000000000004">
      <c r="A374" s="4" t="str">
        <f>GUIDE[[#This Row],[SITE]]&amp;"-"&amp;GUIDE[[#This Row],[TVGID]]</f>
        <v>nowplayer.now.com-nowChineseDramaChannel.hk@SD</v>
      </c>
      <c r="B374" t="s">
        <v>922</v>
      </c>
      <c r="C374" s="3" t="s">
        <v>1289</v>
      </c>
      <c r="D374" t="s">
        <v>920</v>
      </c>
      <c r="E374" t="s">
        <v>1514</v>
      </c>
      <c r="F374" t="s">
        <v>1515</v>
      </c>
    </row>
    <row r="375" spans="1:6" x14ac:dyDescent="0.55000000000000004">
      <c r="A375" s="4" t="str">
        <f>GUIDE[[#This Row],[SITE]]&amp;"-"&amp;GUIDE[[#This Row],[TVGID]]</f>
        <v>nowplayer.now.com-nowData.hk@SD</v>
      </c>
      <c r="B375" t="s">
        <v>922</v>
      </c>
      <c r="C375" s="3" t="s">
        <v>1361</v>
      </c>
      <c r="D375" t="s">
        <v>920</v>
      </c>
      <c r="E375" t="s">
        <v>1516</v>
      </c>
      <c r="F375" t="s">
        <v>1517</v>
      </c>
    </row>
    <row r="376" spans="1:6" x14ac:dyDescent="0.55000000000000004">
      <c r="A376" s="4" t="str">
        <f>GUIDE[[#This Row],[SITE]]&amp;"-"&amp;GUIDE[[#This Row],[TVGID]]</f>
        <v>nowplayer.now.com-nowDirect.hk@SD</v>
      </c>
      <c r="B376" t="s">
        <v>922</v>
      </c>
      <c r="C376" s="3" t="s">
        <v>1216</v>
      </c>
      <c r="D376" t="s">
        <v>920</v>
      </c>
      <c r="E376" t="s">
        <v>1518</v>
      </c>
      <c r="F376" t="s">
        <v>1519</v>
      </c>
    </row>
    <row r="377" spans="1:6" x14ac:dyDescent="0.55000000000000004">
      <c r="A377" s="4" t="str">
        <f>GUIDE[[#This Row],[SITE]]&amp;"-"&amp;GUIDE[[#This Row],[TVGID]]</f>
        <v>nowplayer.now.com-nowGolf2.hk@SD</v>
      </c>
      <c r="B377" t="s">
        <v>922</v>
      </c>
      <c r="C377" s="3" t="s">
        <v>1520</v>
      </c>
      <c r="D377" t="s">
        <v>920</v>
      </c>
      <c r="E377" t="s">
        <v>1521</v>
      </c>
      <c r="F377" t="s">
        <v>1522</v>
      </c>
    </row>
    <row r="378" spans="1:6" x14ac:dyDescent="0.55000000000000004">
      <c r="A378" s="4" t="str">
        <f>GUIDE[[#This Row],[SITE]]&amp;"-"&amp;GUIDE[[#This Row],[TVGID]]</f>
        <v>nowplayer.now.com-nowGolf3.hk@SD</v>
      </c>
      <c r="B378" t="s">
        <v>922</v>
      </c>
      <c r="C378" s="3" t="s">
        <v>1523</v>
      </c>
      <c r="D378" t="s">
        <v>920</v>
      </c>
      <c r="E378" t="s">
        <v>1524</v>
      </c>
      <c r="F378" t="s">
        <v>1525</v>
      </c>
    </row>
    <row r="379" spans="1:6" x14ac:dyDescent="0.55000000000000004">
      <c r="A379" s="4" t="str">
        <f>GUIDE[[#This Row],[SITE]]&amp;"-"&amp;GUIDE[[#This Row],[TVGID]]</f>
        <v>nowplayer.now.com-nowJelli.hk@SD</v>
      </c>
      <c r="B379" t="s">
        <v>922</v>
      </c>
      <c r="C379" s="3" t="s">
        <v>1526</v>
      </c>
      <c r="D379" t="s">
        <v>920</v>
      </c>
      <c r="E379" t="s">
        <v>1527</v>
      </c>
      <c r="F379" t="s">
        <v>1528</v>
      </c>
    </row>
    <row r="380" spans="1:6" x14ac:dyDescent="0.55000000000000004">
      <c r="A380" s="4" t="str">
        <f>GUIDE[[#This Row],[SITE]]&amp;"-"&amp;GUIDE[[#This Row],[TVGID]]</f>
        <v>nowplayer.now.com-nowNews.hk@SD</v>
      </c>
      <c r="B380" t="s">
        <v>922</v>
      </c>
      <c r="C380" s="3" t="s">
        <v>1228</v>
      </c>
      <c r="D380" t="s">
        <v>920</v>
      </c>
      <c r="E380" t="s">
        <v>1529</v>
      </c>
      <c r="F380" t="s">
        <v>1530</v>
      </c>
    </row>
    <row r="381" spans="1:6" x14ac:dyDescent="0.55000000000000004">
      <c r="A381" s="4" t="str">
        <f>GUIDE[[#This Row],[SITE]]&amp;"-"&amp;GUIDE[[#This Row],[TVGID]]</f>
        <v>nowplayer.now.com-nowSports1.hk@SD</v>
      </c>
      <c r="B381" t="s">
        <v>922</v>
      </c>
      <c r="C381" s="3" t="s">
        <v>1531</v>
      </c>
      <c r="D381" t="s">
        <v>920</v>
      </c>
      <c r="E381" t="s">
        <v>1532</v>
      </c>
      <c r="F381" t="s">
        <v>1533</v>
      </c>
    </row>
    <row r="382" spans="1:6" x14ac:dyDescent="0.55000000000000004">
      <c r="A382" s="4" t="str">
        <f>GUIDE[[#This Row],[SITE]]&amp;"-"&amp;GUIDE[[#This Row],[TVGID]]</f>
        <v>nowplayer.now.com-nowSports2.hk@SD</v>
      </c>
      <c r="B382" t="s">
        <v>922</v>
      </c>
      <c r="C382" s="3" t="s">
        <v>1534</v>
      </c>
      <c r="D382" t="s">
        <v>920</v>
      </c>
      <c r="E382" t="s">
        <v>1535</v>
      </c>
      <c r="F382" t="s">
        <v>1536</v>
      </c>
    </row>
    <row r="383" spans="1:6" x14ac:dyDescent="0.55000000000000004">
      <c r="A383" s="4" t="str">
        <f>GUIDE[[#This Row],[SITE]]&amp;"-"&amp;GUIDE[[#This Row],[TVGID]]</f>
        <v>nowplayer.now.com-nowSports3.hk@SD</v>
      </c>
      <c r="B383" t="s">
        <v>922</v>
      </c>
      <c r="C383" s="3" t="s">
        <v>1537</v>
      </c>
      <c r="D383" t="s">
        <v>920</v>
      </c>
      <c r="E383" t="s">
        <v>1538</v>
      </c>
      <c r="F383" t="s">
        <v>1539</v>
      </c>
    </row>
    <row r="384" spans="1:6" x14ac:dyDescent="0.55000000000000004">
      <c r="A384" s="4" t="str">
        <f>GUIDE[[#This Row],[SITE]]&amp;"-"&amp;GUIDE[[#This Row],[TVGID]]</f>
        <v>nowplayer.now.com-nowSports4.hk@SD</v>
      </c>
      <c r="B384" t="s">
        <v>922</v>
      </c>
      <c r="C384" s="3" t="s">
        <v>1540</v>
      </c>
      <c r="D384" t="s">
        <v>920</v>
      </c>
      <c r="E384" t="s">
        <v>1541</v>
      </c>
      <c r="F384" t="s">
        <v>1542</v>
      </c>
    </row>
    <row r="385" spans="1:6" x14ac:dyDescent="0.55000000000000004">
      <c r="A385" s="4" t="str">
        <f>GUIDE[[#This Row],[SITE]]&amp;"-"&amp;GUIDE[[#This Row],[TVGID]]</f>
        <v>nowplayer.now.com-nowSports4K1.hk@SD</v>
      </c>
      <c r="B385" t="s">
        <v>922</v>
      </c>
      <c r="C385" s="3" t="s">
        <v>1543</v>
      </c>
      <c r="D385" t="s">
        <v>920</v>
      </c>
      <c r="E385" t="s">
        <v>1544</v>
      </c>
      <c r="F385" t="s">
        <v>1545</v>
      </c>
    </row>
    <row r="386" spans="1:6" x14ac:dyDescent="0.55000000000000004">
      <c r="A386" s="4" t="str">
        <f>GUIDE[[#This Row],[SITE]]&amp;"-"&amp;GUIDE[[#This Row],[TVGID]]</f>
        <v>nowplayer.now.com-nowSports4K2.hk@SD</v>
      </c>
      <c r="B386" t="s">
        <v>922</v>
      </c>
      <c r="C386" s="3" t="s">
        <v>1546</v>
      </c>
      <c r="D386" t="s">
        <v>920</v>
      </c>
      <c r="E386" t="s">
        <v>1547</v>
      </c>
      <c r="F386" t="s">
        <v>1548</v>
      </c>
    </row>
    <row r="387" spans="1:6" x14ac:dyDescent="0.55000000000000004">
      <c r="A387" s="4" t="str">
        <f>GUIDE[[#This Row],[SITE]]&amp;"-"&amp;GUIDE[[#This Row],[TVGID]]</f>
        <v>nowplayer.now.com-nowSports4K616.hk@SD</v>
      </c>
      <c r="B387" t="s">
        <v>922</v>
      </c>
      <c r="C387" s="3" t="s">
        <v>1549</v>
      </c>
      <c r="D387" t="s">
        <v>920</v>
      </c>
      <c r="E387" t="s">
        <v>1550</v>
      </c>
      <c r="F387" t="s">
        <v>1551</v>
      </c>
    </row>
    <row r="388" spans="1:6" x14ac:dyDescent="0.55000000000000004">
      <c r="A388" s="4" t="str">
        <f>GUIDE[[#This Row],[SITE]]&amp;"-"&amp;GUIDE[[#This Row],[TVGID]]</f>
        <v>nowplayer.now.com-nowSports4K617.hk@SD</v>
      </c>
      <c r="B388" t="s">
        <v>922</v>
      </c>
      <c r="C388" s="3" t="s">
        <v>1552</v>
      </c>
      <c r="D388" t="s">
        <v>920</v>
      </c>
      <c r="E388" t="s">
        <v>1553</v>
      </c>
      <c r="F388" t="s">
        <v>1554</v>
      </c>
    </row>
    <row r="389" spans="1:6" x14ac:dyDescent="0.55000000000000004">
      <c r="A389" s="4" t="str">
        <f>GUIDE[[#This Row],[SITE]]&amp;"-"&amp;GUIDE[[#This Row],[TVGID]]</f>
        <v>nowplayer.now.com-nowSports5.hk@SD</v>
      </c>
      <c r="B389" t="s">
        <v>922</v>
      </c>
      <c r="C389" s="3" t="s">
        <v>1555</v>
      </c>
      <c r="D389" t="s">
        <v>920</v>
      </c>
      <c r="E389" t="s">
        <v>1556</v>
      </c>
      <c r="F389" t="s">
        <v>1557</v>
      </c>
    </row>
    <row r="390" spans="1:6" x14ac:dyDescent="0.55000000000000004">
      <c r="A390" s="4" t="str">
        <f>GUIDE[[#This Row],[SITE]]&amp;"-"&amp;GUIDE[[#This Row],[TVGID]]</f>
        <v>nowplayer.now.com-nowSports6.hk@SD</v>
      </c>
      <c r="B390" t="s">
        <v>922</v>
      </c>
      <c r="C390" s="3" t="s">
        <v>1558</v>
      </c>
      <c r="D390" t="s">
        <v>920</v>
      </c>
      <c r="E390" t="s">
        <v>1559</v>
      </c>
      <c r="F390" t="s">
        <v>1560</v>
      </c>
    </row>
    <row r="391" spans="1:6" x14ac:dyDescent="0.55000000000000004">
      <c r="A391" s="4" t="str">
        <f>GUIDE[[#This Row],[SITE]]&amp;"-"&amp;GUIDE[[#This Row],[TVGID]]</f>
        <v>nowplayer.now.com-nowSports618.hk@SD</v>
      </c>
      <c r="B391" t="s">
        <v>922</v>
      </c>
      <c r="C391" s="3" t="s">
        <v>1564</v>
      </c>
      <c r="D391" t="s">
        <v>920</v>
      </c>
      <c r="E391" t="s">
        <v>1565</v>
      </c>
      <c r="F391" t="s">
        <v>1566</v>
      </c>
    </row>
    <row r="392" spans="1:6" x14ac:dyDescent="0.55000000000000004">
      <c r="A392" s="4" t="str">
        <f>GUIDE[[#This Row],[SITE]]&amp;"-"&amp;GUIDE[[#This Row],[TVGID]]</f>
        <v>nowplayer.now.com-nowSports619.hk@SD</v>
      </c>
      <c r="B392" t="s">
        <v>922</v>
      </c>
      <c r="C392" s="3" t="s">
        <v>1567</v>
      </c>
      <c r="D392" t="s">
        <v>920</v>
      </c>
      <c r="E392" t="s">
        <v>1568</v>
      </c>
      <c r="F392" t="s">
        <v>1569</v>
      </c>
    </row>
    <row r="393" spans="1:6" x14ac:dyDescent="0.55000000000000004">
      <c r="A393" s="4" t="str">
        <f>GUIDE[[#This Row],[SITE]]&amp;"-"&amp;GUIDE[[#This Row],[TVGID]]</f>
        <v>nowplayer.now.com-nowSports650.hk@SD</v>
      </c>
      <c r="B393" t="s">
        <v>922</v>
      </c>
      <c r="C393" s="3" t="s">
        <v>1570</v>
      </c>
      <c r="D393" t="s">
        <v>920</v>
      </c>
      <c r="E393" t="s">
        <v>1571</v>
      </c>
      <c r="F393" t="s">
        <v>1572</v>
      </c>
    </row>
    <row r="394" spans="1:6" x14ac:dyDescent="0.55000000000000004">
      <c r="A394" s="4" t="str">
        <f>GUIDE[[#This Row],[SITE]]&amp;"-"&amp;GUIDE[[#This Row],[TVGID]]</f>
        <v>nowplayer.now.com-nowSports7.hk@SD</v>
      </c>
      <c r="B394" t="s">
        <v>922</v>
      </c>
      <c r="C394" s="3" t="s">
        <v>1561</v>
      </c>
      <c r="D394" t="s">
        <v>920</v>
      </c>
      <c r="E394" t="s">
        <v>1562</v>
      </c>
      <c r="F394" t="s">
        <v>1563</v>
      </c>
    </row>
    <row r="395" spans="1:6" x14ac:dyDescent="0.55000000000000004">
      <c r="A395" s="4" t="str">
        <f>GUIDE[[#This Row],[SITE]]&amp;"-"&amp;GUIDE[[#This Row],[TVGID]]</f>
        <v>nowplayer.now.com-nowSportsPlus.hk@SD</v>
      </c>
      <c r="B395" t="s">
        <v>922</v>
      </c>
      <c r="C395" s="3" t="s">
        <v>1573</v>
      </c>
      <c r="D395" t="s">
        <v>920</v>
      </c>
      <c r="E395" t="s">
        <v>1574</v>
      </c>
      <c r="F395" t="s">
        <v>1575</v>
      </c>
    </row>
    <row r="396" spans="1:6" x14ac:dyDescent="0.55000000000000004">
      <c r="A396" s="4" t="str">
        <f>GUIDE[[#This Row],[SITE]]&amp;"-"&amp;GUIDE[[#This Row],[TVGID]]</f>
        <v>nowplayer.now.com-nowSportsPremierLeague1.hk@SD</v>
      </c>
      <c r="B396" t="s">
        <v>922</v>
      </c>
      <c r="C396" s="3" t="s">
        <v>1576</v>
      </c>
      <c r="D396" t="s">
        <v>920</v>
      </c>
      <c r="E396" t="s">
        <v>1577</v>
      </c>
      <c r="F396" t="s">
        <v>1578</v>
      </c>
    </row>
    <row r="397" spans="1:6" x14ac:dyDescent="0.55000000000000004">
      <c r="A397" s="4" t="str">
        <f>GUIDE[[#This Row],[SITE]]&amp;"-"&amp;GUIDE[[#This Row],[TVGID]]</f>
        <v>nowplayer.now.com-nowSportsPremierLeague2.hk@SD</v>
      </c>
      <c r="B397" t="s">
        <v>922</v>
      </c>
      <c r="C397" s="3" t="s">
        <v>1579</v>
      </c>
      <c r="D397" t="s">
        <v>920</v>
      </c>
      <c r="E397" t="s">
        <v>1580</v>
      </c>
      <c r="F397" t="s">
        <v>1581</v>
      </c>
    </row>
    <row r="398" spans="1:6" x14ac:dyDescent="0.55000000000000004">
      <c r="A398" s="4" t="str">
        <f>GUIDE[[#This Row],[SITE]]&amp;"-"&amp;GUIDE[[#This Row],[TVGID]]</f>
        <v>nowplayer.now.com-nowSportsPremierLeague3.hk@SD</v>
      </c>
      <c r="B398" t="s">
        <v>922</v>
      </c>
      <c r="C398" s="3" t="s">
        <v>1582</v>
      </c>
      <c r="D398" t="s">
        <v>920</v>
      </c>
      <c r="E398" t="s">
        <v>1583</v>
      </c>
      <c r="F398" t="s">
        <v>1584</v>
      </c>
    </row>
    <row r="399" spans="1:6" x14ac:dyDescent="0.55000000000000004">
      <c r="A399" s="4" t="str">
        <f>GUIDE[[#This Row],[SITE]]&amp;"-"&amp;GUIDE[[#This Row],[TVGID]]</f>
        <v>nowplayer.now.com-nowSportsPremierLeague4.hk@SD</v>
      </c>
      <c r="B399" t="s">
        <v>922</v>
      </c>
      <c r="C399" s="3" t="s">
        <v>1585</v>
      </c>
      <c r="D399" t="s">
        <v>920</v>
      </c>
      <c r="E399" t="s">
        <v>1586</v>
      </c>
      <c r="F399" t="s">
        <v>1587</v>
      </c>
    </row>
    <row r="400" spans="1:6" x14ac:dyDescent="0.55000000000000004">
      <c r="A400" s="4" t="str">
        <f>GUIDE[[#This Row],[SITE]]&amp;"-"&amp;GUIDE[[#This Row],[TVGID]]</f>
        <v>nowplayer.now.com-nowSportsPremierLeague5.hk@SD</v>
      </c>
      <c r="B400" t="s">
        <v>922</v>
      </c>
      <c r="C400" s="3" t="s">
        <v>1588</v>
      </c>
      <c r="D400" t="s">
        <v>920</v>
      </c>
      <c r="E400" t="s">
        <v>1589</v>
      </c>
      <c r="F400" t="s">
        <v>1590</v>
      </c>
    </row>
    <row r="401" spans="1:6" x14ac:dyDescent="0.55000000000000004">
      <c r="A401" s="4" t="str">
        <f>GUIDE[[#This Row],[SITE]]&amp;"-"&amp;GUIDE[[#This Row],[TVGID]]</f>
        <v>nowplayer.now.com-nowSportsPremierLeague6.hk@SD</v>
      </c>
      <c r="B401" t="s">
        <v>922</v>
      </c>
      <c r="C401" s="3" t="s">
        <v>1591</v>
      </c>
      <c r="D401" t="s">
        <v>920</v>
      </c>
      <c r="E401" t="s">
        <v>1592</v>
      </c>
      <c r="F401" t="s">
        <v>1593</v>
      </c>
    </row>
    <row r="402" spans="1:6" x14ac:dyDescent="0.55000000000000004">
      <c r="A402" s="4" t="str">
        <f>GUIDE[[#This Row],[SITE]]&amp;"-"&amp;GUIDE[[#This Row],[TVGID]]</f>
        <v>nowplayer.now.com-nowSportsPremierLeagueTV.hk@SD</v>
      </c>
      <c r="B402" t="s">
        <v>922</v>
      </c>
      <c r="C402" s="3" t="s">
        <v>1594</v>
      </c>
      <c r="D402" t="s">
        <v>920</v>
      </c>
      <c r="E402" t="s">
        <v>1595</v>
      </c>
      <c r="F402" t="s">
        <v>1596</v>
      </c>
    </row>
    <row r="403" spans="1:6" x14ac:dyDescent="0.55000000000000004">
      <c r="A403" s="4" t="str">
        <f>GUIDE[[#This Row],[SITE]]&amp;"-"&amp;GUIDE[[#This Row],[TVGID]]</f>
        <v>nowplayer.now.com-nowSportsPrime.hk@SD</v>
      </c>
      <c r="B403" t="s">
        <v>922</v>
      </c>
      <c r="C403" s="3" t="s">
        <v>1597</v>
      </c>
      <c r="D403" t="s">
        <v>920</v>
      </c>
      <c r="E403" t="s">
        <v>1598</v>
      </c>
      <c r="F403" t="s">
        <v>1599</v>
      </c>
    </row>
    <row r="404" spans="1:6" x14ac:dyDescent="0.55000000000000004">
      <c r="A404" s="4" t="str">
        <f>GUIDE[[#This Row],[SITE]]&amp;"-"&amp;GUIDE[[#This Row],[TVGID]]</f>
        <v>nowplayer.now.com-nowVideoExpress.hk@SD</v>
      </c>
      <c r="B404" t="s">
        <v>922</v>
      </c>
      <c r="C404" s="3" t="s">
        <v>1321</v>
      </c>
      <c r="D404" t="s">
        <v>920</v>
      </c>
      <c r="E404" t="s">
        <v>1600</v>
      </c>
      <c r="F404" t="s">
        <v>1601</v>
      </c>
    </row>
    <row r="405" spans="1:6" x14ac:dyDescent="0.55000000000000004">
      <c r="A405" s="4" t="str">
        <f>GUIDE[[#This Row],[SITE]]&amp;"-"&amp;GUIDE[[#This Row],[TVGID]]</f>
        <v>nowplayer.now.com-OutdoorChannelInternational.us@SD</v>
      </c>
      <c r="B405" t="s">
        <v>922</v>
      </c>
      <c r="C405" s="3" t="s">
        <v>992</v>
      </c>
      <c r="D405" t="s">
        <v>920</v>
      </c>
      <c r="E405" t="s">
        <v>1602</v>
      </c>
      <c r="F405" t="s">
        <v>1358</v>
      </c>
    </row>
    <row r="406" spans="1:6" x14ac:dyDescent="0.55000000000000004">
      <c r="A406" s="4" t="str">
        <f>GUIDE[[#This Row],[SITE]]&amp;"-"&amp;GUIDE[[#This Row],[TVGID]]</f>
        <v>nowplayer.now.com-PhoenixChineseChannel.hk@SD</v>
      </c>
      <c r="B406" t="s">
        <v>922</v>
      </c>
      <c r="C406" s="3" t="s">
        <v>1603</v>
      </c>
      <c r="D406" t="s">
        <v>920</v>
      </c>
      <c r="E406" t="s">
        <v>596</v>
      </c>
      <c r="F406" t="s">
        <v>1604</v>
      </c>
    </row>
    <row r="407" spans="1:6" x14ac:dyDescent="0.55000000000000004">
      <c r="A407" s="4" t="str">
        <f>GUIDE[[#This Row],[SITE]]&amp;"-"&amp;GUIDE[[#This Row],[TVGID]]</f>
        <v>nowplayer.now.com-PhoenixInfoNewsChannel.hk@SD</v>
      </c>
      <c r="B407" t="s">
        <v>922</v>
      </c>
      <c r="C407" s="3" t="s">
        <v>1605</v>
      </c>
      <c r="D407" t="s">
        <v>920</v>
      </c>
      <c r="E407" t="s">
        <v>631</v>
      </c>
      <c r="F407" t="s">
        <v>1606</v>
      </c>
    </row>
    <row r="408" spans="1:6" x14ac:dyDescent="0.55000000000000004">
      <c r="A408" s="4" t="str">
        <f>GUIDE[[#This Row],[SITE]]&amp;"-"&amp;GUIDE[[#This Row],[TVGID]]</f>
        <v>nowplayer.now.com-ROCKEntertainment.sg@SD</v>
      </c>
      <c r="B408" t="s">
        <v>922</v>
      </c>
      <c r="C408" s="3" t="s">
        <v>1607</v>
      </c>
      <c r="D408" t="s">
        <v>920</v>
      </c>
      <c r="E408" t="s">
        <v>583</v>
      </c>
      <c r="F408" t="s">
        <v>1608</v>
      </c>
    </row>
    <row r="409" spans="1:6" x14ac:dyDescent="0.55000000000000004">
      <c r="A409" s="4" t="str">
        <f>GUIDE[[#This Row],[SITE]]&amp;"-"&amp;GUIDE[[#This Row],[TVGID]]</f>
        <v>nowplayer.now.com-RT.ru@SD</v>
      </c>
      <c r="B409" t="s">
        <v>922</v>
      </c>
      <c r="C409" s="3" t="s">
        <v>1609</v>
      </c>
      <c r="D409" t="s">
        <v>920</v>
      </c>
      <c r="E409" t="s">
        <v>654</v>
      </c>
      <c r="F409" t="s">
        <v>1610</v>
      </c>
    </row>
    <row r="410" spans="1:6" x14ac:dyDescent="0.55000000000000004">
      <c r="A410" s="4" t="str">
        <f>GUIDE[[#This Row],[SITE]]&amp;"-"&amp;GUIDE[[#This Row],[TVGID]]</f>
        <v>nowplayer.now.com-RugbyPassTV.uk@SD</v>
      </c>
      <c r="B410" t="s">
        <v>922</v>
      </c>
      <c r="C410" s="3" t="s">
        <v>1611</v>
      </c>
      <c r="D410" t="s">
        <v>920</v>
      </c>
      <c r="E410" t="s">
        <v>1612</v>
      </c>
      <c r="F410" t="s">
        <v>1613</v>
      </c>
    </row>
    <row r="411" spans="1:6" x14ac:dyDescent="0.55000000000000004">
      <c r="A411" s="4" t="str">
        <f>GUIDE[[#This Row],[SITE]]&amp;"-"&amp;GUIDE[[#This Row],[TVGID]]</f>
        <v>nowplayer.now.com-SanshaTV.cn@SD</v>
      </c>
      <c r="B411" t="s">
        <v>922</v>
      </c>
      <c r="C411" s="3" t="s">
        <v>1614</v>
      </c>
      <c r="D411" t="s">
        <v>920</v>
      </c>
      <c r="E411" t="s">
        <v>1615</v>
      </c>
      <c r="F411" t="s">
        <v>1616</v>
      </c>
    </row>
    <row r="412" spans="1:6" x14ac:dyDescent="0.55000000000000004">
      <c r="A412" s="4" t="str">
        <f>GUIDE[[#This Row],[SITE]]&amp;"-"&amp;GUIDE[[#This Row],[TVGID]]</f>
        <v>nowplayer.now.com-ShenzhenSatelliteTV.cn@SD</v>
      </c>
      <c r="B412" t="s">
        <v>922</v>
      </c>
      <c r="C412" s="3" t="s">
        <v>1617</v>
      </c>
      <c r="D412" t="s">
        <v>920</v>
      </c>
      <c r="E412" t="s">
        <v>1618</v>
      </c>
      <c r="F412" t="s">
        <v>837</v>
      </c>
    </row>
    <row r="413" spans="1:6" x14ac:dyDescent="0.55000000000000004">
      <c r="A413" s="4" t="str">
        <f>GUIDE[[#This Row],[SITE]]&amp;"-"&amp;GUIDE[[#This Row],[TVGID]]</f>
        <v>nowplayer.now.com-SkyNews.uk@SD</v>
      </c>
      <c r="B413" t="s">
        <v>922</v>
      </c>
      <c r="C413" s="3" t="s">
        <v>1619</v>
      </c>
      <c r="D413" t="s">
        <v>920</v>
      </c>
      <c r="E413" t="s">
        <v>1620</v>
      </c>
      <c r="F413" t="s">
        <v>1621</v>
      </c>
    </row>
    <row r="414" spans="1:6" x14ac:dyDescent="0.55000000000000004">
      <c r="A414" s="4" t="str">
        <f>GUIDE[[#This Row],[SITE]]&amp;"-"&amp;GUIDE[[#This Row],[TVGID]]</f>
        <v>nowplayer.now.com-SonyEntertainmentTelevision.in@SD</v>
      </c>
      <c r="B414" t="s">
        <v>922</v>
      </c>
      <c r="C414" s="3" t="s">
        <v>1622</v>
      </c>
      <c r="D414" t="s">
        <v>920</v>
      </c>
      <c r="E414" t="s">
        <v>1623</v>
      </c>
      <c r="F414" t="s">
        <v>1624</v>
      </c>
    </row>
    <row r="415" spans="1:6" x14ac:dyDescent="0.55000000000000004">
      <c r="A415" s="4" t="str">
        <f>GUIDE[[#This Row],[SITE]]&amp;"-"&amp;GUIDE[[#This Row],[TVGID]]</f>
        <v>nowplayer.now.com-SonyMax.in@SD</v>
      </c>
      <c r="B415" t="s">
        <v>922</v>
      </c>
      <c r="C415" s="3" t="s">
        <v>1625</v>
      </c>
      <c r="D415" t="s">
        <v>920</v>
      </c>
      <c r="E415" t="s">
        <v>1626</v>
      </c>
      <c r="F415" t="s">
        <v>1627</v>
      </c>
    </row>
    <row r="416" spans="1:6" x14ac:dyDescent="0.55000000000000004">
      <c r="A416" s="4" t="str">
        <f>GUIDE[[#This Row],[SITE]]&amp;"-"&amp;GUIDE[[#This Row],[TVGID]]</f>
        <v>nowplayer.now.com-SonySABAsia.in@SD</v>
      </c>
      <c r="B416" t="s">
        <v>922</v>
      </c>
      <c r="C416" s="3" t="s">
        <v>1628</v>
      </c>
      <c r="D416" t="s">
        <v>920</v>
      </c>
      <c r="E416" t="s">
        <v>1629</v>
      </c>
      <c r="F416" t="s">
        <v>1630</v>
      </c>
    </row>
    <row r="417" spans="1:6" x14ac:dyDescent="0.55000000000000004">
      <c r="A417" s="4" t="str">
        <f>GUIDE[[#This Row],[SITE]]&amp;"-"&amp;GUIDE[[#This Row],[TVGID]]</f>
        <v>nowplayer.now.com-StarBharat.in@SD</v>
      </c>
      <c r="B417" t="s">
        <v>922</v>
      </c>
      <c r="C417" s="3" t="s">
        <v>1631</v>
      </c>
      <c r="D417" t="s">
        <v>920</v>
      </c>
      <c r="E417" t="s">
        <v>1632</v>
      </c>
      <c r="F417" t="s">
        <v>1633</v>
      </c>
    </row>
    <row r="418" spans="1:6" x14ac:dyDescent="0.55000000000000004">
      <c r="A418" s="4" t="str">
        <f>GUIDE[[#This Row],[SITE]]&amp;"-"&amp;GUIDE[[#This Row],[TVGID]]</f>
        <v>nowplayer.now.com-StarGold.in@SD</v>
      </c>
      <c r="B418" t="s">
        <v>922</v>
      </c>
      <c r="C418" s="3" t="s">
        <v>1634</v>
      </c>
      <c r="D418" t="s">
        <v>920</v>
      </c>
      <c r="E418" t="s">
        <v>1635</v>
      </c>
      <c r="F418" t="s">
        <v>1636</v>
      </c>
    </row>
    <row r="419" spans="1:6" x14ac:dyDescent="0.55000000000000004">
      <c r="A419" s="4" t="str">
        <f>GUIDE[[#This Row],[SITE]]&amp;"-"&amp;GUIDE[[#This Row],[TVGID]]</f>
        <v>nowplayer.now.com-StarPlus.in@SD</v>
      </c>
      <c r="B419" t="s">
        <v>922</v>
      </c>
      <c r="C419" s="3" t="s">
        <v>1637</v>
      </c>
      <c r="D419" t="s">
        <v>920</v>
      </c>
      <c r="E419" t="s">
        <v>1638</v>
      </c>
      <c r="F419" t="s">
        <v>1639</v>
      </c>
    </row>
    <row r="420" spans="1:6" x14ac:dyDescent="0.55000000000000004">
      <c r="A420" s="4" t="str">
        <f>GUIDE[[#This Row],[SITE]]&amp;"-"&amp;GUIDE[[#This Row],[TVGID]]</f>
        <v>nowplayer.now.com-TheFilipinoChannelAsia.us@SD</v>
      </c>
      <c r="B420" t="s">
        <v>922</v>
      </c>
      <c r="C420" s="3" t="s">
        <v>1640</v>
      </c>
      <c r="D420" t="s">
        <v>920</v>
      </c>
      <c r="E420" t="s">
        <v>1641</v>
      </c>
      <c r="F420" t="s">
        <v>1642</v>
      </c>
    </row>
    <row r="421" spans="1:6" x14ac:dyDescent="0.55000000000000004">
      <c r="A421" s="4" t="str">
        <f>GUIDE[[#This Row],[SITE]]&amp;"-"&amp;GUIDE[[#This Row],[TVGID]]</f>
        <v>nowplayer.now.com-TLCSoutheastAsia.sg@SD</v>
      </c>
      <c r="B421" t="s">
        <v>922</v>
      </c>
      <c r="C421" s="3" t="s">
        <v>958</v>
      </c>
      <c r="D421" t="s">
        <v>920</v>
      </c>
      <c r="E421" t="s">
        <v>572</v>
      </c>
      <c r="F421" t="s">
        <v>53</v>
      </c>
    </row>
    <row r="422" spans="1:6" x14ac:dyDescent="0.55000000000000004">
      <c r="A422" s="4" t="str">
        <f>GUIDE[[#This Row],[SITE]]&amp;"-"&amp;GUIDE[[#This Row],[TVGID]]</f>
        <v>nowplayer.now.com-TV5MondeAsia.fr@SD</v>
      </c>
      <c r="B422" t="s">
        <v>922</v>
      </c>
      <c r="C422" s="3" t="s">
        <v>1643</v>
      </c>
      <c r="D422" t="s">
        <v>920</v>
      </c>
      <c r="E422" t="s">
        <v>582</v>
      </c>
      <c r="F422" t="s">
        <v>1117</v>
      </c>
    </row>
    <row r="423" spans="1:6" x14ac:dyDescent="0.55000000000000004">
      <c r="A423" s="4" t="str">
        <f>GUIDE[[#This Row],[SITE]]&amp;"-"&amp;GUIDE[[#This Row],[TVGID]]</f>
        <v>nowplayer.now.com-TV5MondeStyle.fr@SD</v>
      </c>
      <c r="B423" t="s">
        <v>922</v>
      </c>
      <c r="C423" s="3" t="s">
        <v>1644</v>
      </c>
      <c r="D423" t="s">
        <v>920</v>
      </c>
      <c r="E423" t="s">
        <v>1645</v>
      </c>
      <c r="F423" t="s">
        <v>1646</v>
      </c>
    </row>
    <row r="424" spans="1:6" x14ac:dyDescent="0.55000000000000004">
      <c r="A424" s="4" t="str">
        <f>GUIDE[[#This Row],[SITE]]&amp;"-"&amp;GUIDE[[#This Row],[TVGID]]</f>
        <v>nowplayer.now.com-tvNAsia.hk@SD</v>
      </c>
      <c r="B424" t="s">
        <v>922</v>
      </c>
      <c r="C424" s="3" t="s">
        <v>1647</v>
      </c>
      <c r="D424" t="s">
        <v>920</v>
      </c>
      <c r="E424" t="s">
        <v>584</v>
      </c>
      <c r="F424" t="s">
        <v>865</v>
      </c>
    </row>
    <row r="425" spans="1:6" x14ac:dyDescent="0.55000000000000004">
      <c r="A425" s="4" t="str">
        <f>GUIDE[[#This Row],[SITE]]&amp;"-"&amp;GUIDE[[#This Row],[TVGID]]</f>
        <v>nowplayer.now.com-TVS2SouthernTV.cn@SD</v>
      </c>
      <c r="B425" t="s">
        <v>922</v>
      </c>
      <c r="C425" s="3" t="s">
        <v>1648</v>
      </c>
      <c r="D425" t="s">
        <v>920</v>
      </c>
      <c r="E425" t="s">
        <v>1649</v>
      </c>
      <c r="F425" t="s">
        <v>1650</v>
      </c>
    </row>
    <row r="426" spans="1:6" x14ac:dyDescent="0.55000000000000004">
      <c r="A426" s="4" t="str">
        <f>GUIDE[[#This Row],[SITE]]&amp;"-"&amp;GUIDE[[#This Row],[TVGID]]</f>
        <v>nowplayer.now.com-ViuChannel.hk@SD</v>
      </c>
      <c r="B426" t="s">
        <v>922</v>
      </c>
      <c r="C426" s="3" t="s">
        <v>1070</v>
      </c>
      <c r="D426" t="s">
        <v>920</v>
      </c>
      <c r="E426" t="s">
        <v>1651</v>
      </c>
      <c r="F426" t="s">
        <v>1652</v>
      </c>
    </row>
    <row r="427" spans="1:6" x14ac:dyDescent="0.55000000000000004">
      <c r="A427" s="4" t="str">
        <f>GUIDE[[#This Row],[SITE]]&amp;"-"&amp;GUIDE[[#This Row],[TVGID]]</f>
        <v>nowplayer.now.com-ViuTV.hk@SD</v>
      </c>
      <c r="B427" t="s">
        <v>922</v>
      </c>
      <c r="C427" s="3" t="s">
        <v>1653</v>
      </c>
      <c r="D427" t="s">
        <v>920</v>
      </c>
      <c r="E427" t="s">
        <v>1654</v>
      </c>
      <c r="F427" t="s">
        <v>1655</v>
      </c>
    </row>
    <row r="428" spans="1:6" x14ac:dyDescent="0.55000000000000004">
      <c r="A428" s="4" t="str">
        <f>GUIDE[[#This Row],[SITE]]&amp;"-"&amp;GUIDE[[#This Row],[TVGID]]</f>
        <v>nowplayer.now.com-ViuTVsix.hk@SD</v>
      </c>
      <c r="B428" t="s">
        <v>922</v>
      </c>
      <c r="C428" s="3" t="s">
        <v>1656</v>
      </c>
      <c r="D428" t="s">
        <v>920</v>
      </c>
      <c r="E428" t="s">
        <v>1657</v>
      </c>
      <c r="F428" t="s">
        <v>1658</v>
      </c>
    </row>
    <row r="429" spans="1:6" x14ac:dyDescent="0.55000000000000004">
      <c r="A429" s="4" t="str">
        <f>GUIDE[[#This Row],[SITE]]&amp;"-"&amp;GUIDE[[#This Row],[TVGID]]</f>
        <v>nowplayer.now.com-ZeeCinema.in@APAC</v>
      </c>
      <c r="B429" t="s">
        <v>922</v>
      </c>
      <c r="C429" s="3" t="s">
        <v>1659</v>
      </c>
      <c r="D429" t="s">
        <v>920</v>
      </c>
      <c r="E429" t="s">
        <v>1660</v>
      </c>
      <c r="F429" t="s">
        <v>1661</v>
      </c>
    </row>
    <row r="430" spans="1:6" x14ac:dyDescent="0.55000000000000004">
      <c r="A430" s="4" t="str">
        <f>GUIDE[[#This Row],[SITE]]&amp;"-"&amp;GUIDE[[#This Row],[TVGID]]</f>
        <v>nowplayer.now.com-ZeeNews.in@SD</v>
      </c>
      <c r="B430" t="s">
        <v>922</v>
      </c>
      <c r="C430" s="3" t="s">
        <v>1662</v>
      </c>
      <c r="D430" t="s">
        <v>920</v>
      </c>
      <c r="E430" t="s">
        <v>1663</v>
      </c>
      <c r="F430" t="s">
        <v>1664</v>
      </c>
    </row>
    <row r="431" spans="1:6" x14ac:dyDescent="0.55000000000000004">
      <c r="A431" s="4" t="str">
        <f>GUIDE[[#This Row],[SITE]]&amp;"-"&amp;GUIDE[[#This Row],[TVGID]]</f>
        <v>nowplayer.now.com-ZeeTVAsiaPacific.sg@SD</v>
      </c>
      <c r="B431" t="s">
        <v>922</v>
      </c>
      <c r="C431" s="3" t="s">
        <v>1665</v>
      </c>
      <c r="D431" t="s">
        <v>920</v>
      </c>
      <c r="E431" t="s">
        <v>1666</v>
      </c>
      <c r="F431" t="s">
        <v>1667</v>
      </c>
    </row>
    <row r="432" spans="1:6" x14ac:dyDescent="0.55000000000000004">
      <c r="A432" s="4" t="str">
        <f>GUIDE[[#This Row],[SITE]]&amp;"-"&amp;GUIDE[[#This Row],[TVGID]]</f>
        <v>pickx.be-WSport.za@SD</v>
      </c>
      <c r="B432" t="s">
        <v>929</v>
      </c>
      <c r="C432" s="3" t="s">
        <v>930</v>
      </c>
      <c r="D432" t="s">
        <v>920</v>
      </c>
      <c r="E432" t="s">
        <v>623</v>
      </c>
      <c r="F432" t="s">
        <v>931</v>
      </c>
    </row>
    <row r="433" spans="1:6" x14ac:dyDescent="0.55000000000000004">
      <c r="A433" s="4" t="str">
        <f>GUIDE[[#This Row],[SITE]]&amp;"-"&amp;GUIDE[[#This Row],[TVGID]]</f>
        <v>singtel.com-ABCAustralia.au@SD</v>
      </c>
      <c r="B433" t="s">
        <v>1936</v>
      </c>
      <c r="C433" s="3" t="s">
        <v>1937</v>
      </c>
      <c r="D433" t="s">
        <v>920</v>
      </c>
      <c r="E433" t="s">
        <v>590</v>
      </c>
      <c r="F433" t="s">
        <v>96</v>
      </c>
    </row>
    <row r="434" spans="1:6" x14ac:dyDescent="0.55000000000000004">
      <c r="A434" s="4" t="str">
        <f>GUIDE[[#This Row],[SITE]]&amp;"-"&amp;GUIDE[[#This Row],[TVGID]]</f>
        <v>singtel.com-AdithyaTV.in@SD</v>
      </c>
      <c r="B434" t="s">
        <v>1936</v>
      </c>
      <c r="C434" s="3" t="s">
        <v>1938</v>
      </c>
      <c r="D434" t="s">
        <v>920</v>
      </c>
      <c r="E434" t="s">
        <v>1939</v>
      </c>
      <c r="F434" t="s">
        <v>1940</v>
      </c>
    </row>
    <row r="435" spans="1:6" x14ac:dyDescent="0.55000000000000004">
      <c r="A435" s="4" t="str">
        <f>GUIDE[[#This Row],[SITE]]&amp;"-"&amp;GUIDE[[#This Row],[TVGID]]</f>
        <v>singtel.com-ANCGlobal.ph@SD</v>
      </c>
      <c r="B435" t="s">
        <v>1936</v>
      </c>
      <c r="C435" s="3" t="s">
        <v>1941</v>
      </c>
      <c r="D435" t="s">
        <v>920</v>
      </c>
      <c r="E435" t="s">
        <v>1942</v>
      </c>
      <c r="F435" t="s">
        <v>1943</v>
      </c>
    </row>
    <row r="436" spans="1:6" x14ac:dyDescent="0.55000000000000004">
      <c r="A436" s="4" t="str">
        <f>GUIDE[[#This Row],[SITE]]&amp;"-"&amp;GUIDE[[#This Row],[TVGID]]</f>
        <v>singtel.com-AnimalPlanetSoutheastAsia.sg@SD</v>
      </c>
      <c r="B436" t="s">
        <v>1936</v>
      </c>
      <c r="C436" s="3" t="s">
        <v>1944</v>
      </c>
      <c r="D436" t="s">
        <v>920</v>
      </c>
      <c r="E436" t="s">
        <v>553</v>
      </c>
      <c r="F436" t="s">
        <v>1945</v>
      </c>
    </row>
    <row r="437" spans="1:6" x14ac:dyDescent="0.55000000000000004">
      <c r="A437" s="4" t="str">
        <f>GUIDE[[#This Row],[SITE]]&amp;"-"&amp;GUIDE[[#This Row],[TVGID]]</f>
        <v>singtel.com-AnimaxAsia.sg@SD</v>
      </c>
      <c r="B437" t="s">
        <v>1936</v>
      </c>
      <c r="C437" s="3" t="s">
        <v>1946</v>
      </c>
      <c r="D437" t="s">
        <v>920</v>
      </c>
      <c r="E437" t="s">
        <v>576</v>
      </c>
      <c r="F437" t="s">
        <v>1947</v>
      </c>
    </row>
    <row r="438" spans="1:6" x14ac:dyDescent="0.55000000000000004">
      <c r="A438" s="4" t="str">
        <f>GUIDE[[#This Row],[SITE]]&amp;"-"&amp;GUIDE[[#This Row],[TVGID]]</f>
        <v>singtel.com-AniplusAsia.sg@SD</v>
      </c>
      <c r="B438" t="s">
        <v>1936</v>
      </c>
      <c r="C438" s="3" t="s">
        <v>1948</v>
      </c>
      <c r="D438" t="s">
        <v>920</v>
      </c>
      <c r="E438" t="s">
        <v>586</v>
      </c>
      <c r="F438" t="s">
        <v>1949</v>
      </c>
    </row>
    <row r="439" spans="1:6" x14ac:dyDescent="0.55000000000000004">
      <c r="A439" s="4" t="str">
        <f>GUIDE[[#This Row],[SITE]]&amp;"-"&amp;GUIDE[[#This Row],[TVGID]]</f>
        <v>singtel.com-ArirangTV.kr@SD</v>
      </c>
      <c r="B439" t="s">
        <v>1936</v>
      </c>
      <c r="C439" s="3" t="s">
        <v>1950</v>
      </c>
      <c r="D439" t="s">
        <v>920</v>
      </c>
      <c r="E439" t="s">
        <v>591</v>
      </c>
      <c r="F439" t="s">
        <v>1951</v>
      </c>
    </row>
    <row r="440" spans="1:6" x14ac:dyDescent="0.55000000000000004">
      <c r="A440" s="4" t="str">
        <f>GUIDE[[#This Row],[SITE]]&amp;"-"&amp;GUIDE[[#This Row],[TVGID]]</f>
        <v>singtel.com-Asianet.in@SD</v>
      </c>
      <c r="B440" t="s">
        <v>1936</v>
      </c>
      <c r="C440" s="3" t="s">
        <v>1952</v>
      </c>
      <c r="D440" t="s">
        <v>920</v>
      </c>
      <c r="E440" t="s">
        <v>1953</v>
      </c>
      <c r="F440" t="s">
        <v>1954</v>
      </c>
    </row>
    <row r="441" spans="1:6" x14ac:dyDescent="0.55000000000000004">
      <c r="A441" s="4" t="str">
        <f>GUIDE[[#This Row],[SITE]]&amp;"-"&amp;GUIDE[[#This Row],[TVGID]]</f>
        <v>singtel.com-AsianetMovies.in@SD</v>
      </c>
      <c r="B441" t="s">
        <v>1936</v>
      </c>
      <c r="C441" s="3" t="s">
        <v>1955</v>
      </c>
      <c r="D441" t="s">
        <v>920</v>
      </c>
      <c r="E441" t="s">
        <v>1956</v>
      </c>
      <c r="F441" t="s">
        <v>1957</v>
      </c>
    </row>
    <row r="442" spans="1:6" x14ac:dyDescent="0.55000000000000004">
      <c r="A442" s="4" t="str">
        <f>GUIDE[[#This Row],[SITE]]&amp;"-"&amp;GUIDE[[#This Row],[TVGID]]</f>
        <v>singtel.com-AsianFoodNetwork.sg@SD</v>
      </c>
      <c r="B442" t="s">
        <v>1936</v>
      </c>
      <c r="C442" s="3" t="s">
        <v>1958</v>
      </c>
      <c r="D442" t="s">
        <v>920</v>
      </c>
      <c r="E442" t="s">
        <v>569</v>
      </c>
      <c r="F442" t="s">
        <v>1959</v>
      </c>
    </row>
    <row r="443" spans="1:6" x14ac:dyDescent="0.55000000000000004">
      <c r="A443" s="4" t="str">
        <f>GUIDE[[#This Row],[SITE]]&amp;"-"&amp;GUIDE[[#This Row],[TVGID]]</f>
        <v>singtel.com-AstroPrima.my@SD</v>
      </c>
      <c r="B443" t="s">
        <v>1936</v>
      </c>
      <c r="C443" s="3" t="s">
        <v>1960</v>
      </c>
      <c r="D443" t="s">
        <v>920</v>
      </c>
      <c r="E443" t="s">
        <v>1961</v>
      </c>
      <c r="F443" t="s">
        <v>1962</v>
      </c>
    </row>
    <row r="444" spans="1:6" x14ac:dyDescent="0.55000000000000004">
      <c r="A444" s="4" t="str">
        <f>GUIDE[[#This Row],[SITE]]&amp;"-"&amp;GUIDE[[#This Row],[TVGID]]</f>
        <v>singtel.com-AstroRia.my@SD</v>
      </c>
      <c r="B444" t="s">
        <v>1936</v>
      </c>
      <c r="C444" s="3" t="s">
        <v>1963</v>
      </c>
      <c r="D444" t="s">
        <v>920</v>
      </c>
      <c r="E444" t="s">
        <v>1964</v>
      </c>
      <c r="F444" t="s">
        <v>1965</v>
      </c>
    </row>
    <row r="445" spans="1:6" x14ac:dyDescent="0.55000000000000004">
      <c r="A445" s="4" t="str">
        <f>GUIDE[[#This Row],[SITE]]&amp;"-"&amp;GUIDE[[#This Row],[TVGID]]</f>
        <v>singtel.com-ATNSABTV.ca@SD</v>
      </c>
      <c r="B445" t="s">
        <v>1936</v>
      </c>
      <c r="C445" s="3" t="s">
        <v>1966</v>
      </c>
      <c r="D445" t="s">
        <v>920</v>
      </c>
      <c r="E445" t="s">
        <v>1967</v>
      </c>
      <c r="F445" t="s">
        <v>1968</v>
      </c>
    </row>
    <row r="446" spans="1:6" x14ac:dyDescent="0.55000000000000004">
      <c r="A446" s="4" t="str">
        <f>GUIDE[[#This Row],[SITE]]&amp;"-"&amp;GUIDE[[#This Row],[TVGID]]</f>
        <v>singtel.com-AXNAsia.sg@Singapore</v>
      </c>
      <c r="B446" t="s">
        <v>1936</v>
      </c>
      <c r="C446" s="3" t="s">
        <v>1969</v>
      </c>
      <c r="D446" t="s">
        <v>920</v>
      </c>
      <c r="E446" t="s">
        <v>1970</v>
      </c>
      <c r="F446" t="s">
        <v>1971</v>
      </c>
    </row>
    <row r="447" spans="1:6" x14ac:dyDescent="0.55000000000000004">
      <c r="A447" s="4" t="str">
        <f>GUIDE[[#This Row],[SITE]]&amp;"-"&amp;GUIDE[[#This Row],[TVGID]]</f>
        <v>singtel.com-BBCEarth.uk@Asia</v>
      </c>
      <c r="B447" t="s">
        <v>1936</v>
      </c>
      <c r="C447" s="3" t="s">
        <v>1972</v>
      </c>
      <c r="D447" t="s">
        <v>920</v>
      </c>
      <c r="E447" t="s">
        <v>1223</v>
      </c>
      <c r="F447" t="s">
        <v>1973</v>
      </c>
    </row>
    <row r="448" spans="1:6" x14ac:dyDescent="0.55000000000000004">
      <c r="A448" s="4" t="str">
        <f>GUIDE[[#This Row],[SITE]]&amp;"-"&amp;GUIDE[[#This Row],[TVGID]]</f>
        <v>singtel.com-BBCLifestyle.uk@Asia</v>
      </c>
      <c r="B448" t="s">
        <v>1936</v>
      </c>
      <c r="C448" s="3" t="s">
        <v>1974</v>
      </c>
      <c r="D448" t="s">
        <v>920</v>
      </c>
      <c r="E448" t="s">
        <v>1408</v>
      </c>
      <c r="F448" t="s">
        <v>1975</v>
      </c>
    </row>
    <row r="449" spans="1:6" x14ac:dyDescent="0.55000000000000004">
      <c r="A449" s="4" t="str">
        <f>GUIDE[[#This Row],[SITE]]&amp;"-"&amp;GUIDE[[#This Row],[TVGID]]</f>
        <v>singtel.com-BBCNews.uk@AsiaPacific</v>
      </c>
      <c r="B449" t="s">
        <v>1936</v>
      </c>
      <c r="C449" s="3" t="s">
        <v>1976</v>
      </c>
      <c r="D449" t="s">
        <v>920</v>
      </c>
      <c r="E449" t="s">
        <v>915</v>
      </c>
      <c r="F449" t="s">
        <v>644</v>
      </c>
    </row>
    <row r="450" spans="1:6" x14ac:dyDescent="0.55000000000000004">
      <c r="A450" s="4" t="str">
        <f>GUIDE[[#This Row],[SITE]]&amp;"-"&amp;GUIDE[[#This Row],[TVGID]]</f>
        <v>singtel.com-beINSports.qa@MENA</v>
      </c>
      <c r="B450" t="s">
        <v>1936</v>
      </c>
      <c r="C450" s="3" t="s">
        <v>1982</v>
      </c>
      <c r="D450" t="s">
        <v>920</v>
      </c>
      <c r="E450" t="s">
        <v>1983</v>
      </c>
      <c r="F450" t="s">
        <v>1984</v>
      </c>
    </row>
    <row r="451" spans="1:6" x14ac:dyDescent="0.55000000000000004">
      <c r="A451" s="4" t="str">
        <f>GUIDE[[#This Row],[SITE]]&amp;"-"&amp;GUIDE[[#This Row],[TVGID]]</f>
        <v>singtel.com-beINSports2.qa@MENA</v>
      </c>
      <c r="B451" t="s">
        <v>1936</v>
      </c>
      <c r="C451" s="3" t="s">
        <v>1977</v>
      </c>
      <c r="D451" t="s">
        <v>920</v>
      </c>
      <c r="E451" t="s">
        <v>1234</v>
      </c>
      <c r="F451" t="s">
        <v>1978</v>
      </c>
    </row>
    <row r="452" spans="1:6" x14ac:dyDescent="0.55000000000000004">
      <c r="A452" s="4" t="str">
        <f>GUIDE[[#This Row],[SITE]]&amp;"-"&amp;GUIDE[[#This Row],[TVGID]]</f>
        <v>singtel.com-beINSports3.qa@MENA</v>
      </c>
      <c r="B452" t="s">
        <v>1936</v>
      </c>
      <c r="C452" s="3" t="s">
        <v>1979</v>
      </c>
      <c r="D452" t="s">
        <v>920</v>
      </c>
      <c r="E452" t="s">
        <v>1980</v>
      </c>
      <c r="F452" t="s">
        <v>1981</v>
      </c>
    </row>
    <row r="453" spans="1:6" x14ac:dyDescent="0.55000000000000004">
      <c r="A453" s="4" t="str">
        <f>GUIDE[[#This Row],[SITE]]&amp;"-"&amp;GUIDE[[#This Row],[TVGID]]</f>
        <v>singtel.com-BloombergOriginals.us@SD</v>
      </c>
      <c r="B453" t="s">
        <v>1936</v>
      </c>
      <c r="C453" s="3" t="s">
        <v>1985</v>
      </c>
      <c r="D453" t="s">
        <v>920</v>
      </c>
      <c r="E453" t="s">
        <v>1986</v>
      </c>
      <c r="F453" t="s">
        <v>1987</v>
      </c>
    </row>
    <row r="454" spans="1:6" x14ac:dyDescent="0.55000000000000004">
      <c r="A454" s="4" t="str">
        <f>GUIDE[[#This Row],[SITE]]&amp;"-"&amp;GUIDE[[#This Row],[TVGID]]</f>
        <v>singtel.com-BloombergTV.us@Asia</v>
      </c>
      <c r="B454" t="s">
        <v>1936</v>
      </c>
      <c r="C454" s="3" t="s">
        <v>1988</v>
      </c>
      <c r="D454" t="s">
        <v>920</v>
      </c>
      <c r="E454" t="s">
        <v>374</v>
      </c>
      <c r="F454" t="s">
        <v>1989</v>
      </c>
    </row>
    <row r="455" spans="1:6" x14ac:dyDescent="0.55000000000000004">
      <c r="A455" s="4" t="str">
        <f>GUIDE[[#This Row],[SITE]]&amp;"-"&amp;GUIDE[[#This Row],[TVGID]]</f>
        <v>singtel.com-BRTVInternationalChannel.cn@SD</v>
      </c>
      <c r="B455" t="s">
        <v>1936</v>
      </c>
      <c r="C455" s="3" t="s">
        <v>1990</v>
      </c>
      <c r="D455" t="s">
        <v>920</v>
      </c>
      <c r="E455" t="s">
        <v>1991</v>
      </c>
      <c r="F455" t="s">
        <v>1992</v>
      </c>
    </row>
    <row r="456" spans="1:6" x14ac:dyDescent="0.55000000000000004">
      <c r="A456" s="4" t="str">
        <f>GUIDE[[#This Row],[SITE]]&amp;"-"&amp;GUIDE[[#This Row],[TVGID]]</f>
        <v>singtel.com-CartoonNetworkAsia.sg@SD</v>
      </c>
      <c r="B456" t="s">
        <v>1936</v>
      </c>
      <c r="C456" s="3" t="s">
        <v>1993</v>
      </c>
      <c r="D456" t="s">
        <v>920</v>
      </c>
      <c r="E456" t="s">
        <v>563</v>
      </c>
      <c r="F456" t="s">
        <v>1994</v>
      </c>
    </row>
    <row r="457" spans="1:6" x14ac:dyDescent="0.55000000000000004">
      <c r="A457" s="4" t="str">
        <f>GUIDE[[#This Row],[SITE]]&amp;"-"&amp;GUIDE[[#This Row],[TVGID]]</f>
        <v>singtel.com-CBeebiesAsia.uk@SD</v>
      </c>
      <c r="B457" t="s">
        <v>1936</v>
      </c>
      <c r="C457" s="3" t="s">
        <v>1995</v>
      </c>
      <c r="D457" t="s">
        <v>920</v>
      </c>
      <c r="E457" t="s">
        <v>657</v>
      </c>
      <c r="F457" t="s">
        <v>1996</v>
      </c>
    </row>
    <row r="458" spans="1:6" x14ac:dyDescent="0.55000000000000004">
      <c r="A458" s="4" t="str">
        <f>GUIDE[[#This Row],[SITE]]&amp;"-"&amp;GUIDE[[#This Row],[TVGID]]</f>
        <v>singtel.com-CCM.hk@SD</v>
      </c>
      <c r="B458" t="s">
        <v>1936</v>
      </c>
      <c r="C458" s="3" t="s">
        <v>1997</v>
      </c>
      <c r="D458" t="s">
        <v>920</v>
      </c>
      <c r="E458" t="s">
        <v>1998</v>
      </c>
      <c r="F458" t="s">
        <v>1251</v>
      </c>
    </row>
    <row r="459" spans="1:6" x14ac:dyDescent="0.55000000000000004">
      <c r="A459" s="4" t="str">
        <f>GUIDE[[#This Row],[SITE]]&amp;"-"&amp;GUIDE[[#This Row],[TVGID]]</f>
        <v>singtel.com-CCTV4Asia.cn@SD</v>
      </c>
      <c r="B459" t="s">
        <v>1936</v>
      </c>
      <c r="C459" s="3" t="s">
        <v>1999</v>
      </c>
      <c r="D459" t="s">
        <v>920</v>
      </c>
      <c r="E459" t="s">
        <v>592</v>
      </c>
      <c r="F459" t="s">
        <v>2000</v>
      </c>
    </row>
    <row r="460" spans="1:6" x14ac:dyDescent="0.55000000000000004">
      <c r="A460" s="4" t="str">
        <f>GUIDE[[#This Row],[SITE]]&amp;"-"&amp;GUIDE[[#This Row],[TVGID]]</f>
        <v>singtel.com-CCTVEntertainment.cn@SD</v>
      </c>
      <c r="B460" t="s">
        <v>1936</v>
      </c>
      <c r="C460" s="3" t="s">
        <v>2001</v>
      </c>
      <c r="D460" t="s">
        <v>920</v>
      </c>
      <c r="E460" t="s">
        <v>2002</v>
      </c>
      <c r="F460" t="s">
        <v>2003</v>
      </c>
    </row>
    <row r="461" spans="1:6" x14ac:dyDescent="0.55000000000000004">
      <c r="A461" s="4" t="str">
        <f>GUIDE[[#This Row],[SITE]]&amp;"-"&amp;GUIDE[[#This Row],[TVGID]]</f>
        <v>singtel.com-CelestialMovies.hk@SD</v>
      </c>
      <c r="B461" t="s">
        <v>1936</v>
      </c>
      <c r="C461" s="3" t="s">
        <v>2004</v>
      </c>
      <c r="D461" t="s">
        <v>920</v>
      </c>
      <c r="E461" t="s">
        <v>2005</v>
      </c>
      <c r="F461" t="s">
        <v>2006</v>
      </c>
    </row>
    <row r="462" spans="1:6" x14ac:dyDescent="0.55000000000000004">
      <c r="A462" s="4" t="str">
        <f>GUIDE[[#This Row],[SITE]]&amp;"-"&amp;GUIDE[[#This Row],[TVGID]]</f>
        <v>singtel.com-CGTN.cn@SD</v>
      </c>
      <c r="B462" t="s">
        <v>1936</v>
      </c>
      <c r="C462" s="3" t="s">
        <v>2007</v>
      </c>
      <c r="D462" t="s">
        <v>920</v>
      </c>
      <c r="E462" t="s">
        <v>951</v>
      </c>
      <c r="F462" t="s">
        <v>709</v>
      </c>
    </row>
    <row r="463" spans="1:6" x14ac:dyDescent="0.55000000000000004">
      <c r="A463" s="4" t="str">
        <f>GUIDE[[#This Row],[SITE]]&amp;"-"&amp;GUIDE[[#This Row],[TVGID]]</f>
        <v>singtel.com-CGTNDocumentary.cn@SD</v>
      </c>
      <c r="B463" t="s">
        <v>1936</v>
      </c>
      <c r="C463" s="3" t="s">
        <v>2008</v>
      </c>
      <c r="D463" t="s">
        <v>920</v>
      </c>
      <c r="E463" t="s">
        <v>555</v>
      </c>
      <c r="F463" t="s">
        <v>2009</v>
      </c>
    </row>
    <row r="464" spans="1:6" x14ac:dyDescent="0.55000000000000004">
      <c r="A464" s="4" t="str">
        <f>GUIDE[[#This Row],[SITE]]&amp;"-"&amp;GUIDE[[#This Row],[TVGID]]</f>
        <v>singtel.com-Channel5.sg@SD</v>
      </c>
      <c r="B464" t="s">
        <v>1936</v>
      </c>
      <c r="C464" s="3" t="s">
        <v>2010</v>
      </c>
      <c r="D464" t="s">
        <v>920</v>
      </c>
      <c r="E464" t="s">
        <v>2011</v>
      </c>
      <c r="F464" t="s">
        <v>2012</v>
      </c>
    </row>
    <row r="465" spans="1:6" x14ac:dyDescent="0.55000000000000004">
      <c r="A465" s="4" t="str">
        <f>GUIDE[[#This Row],[SITE]]&amp;"-"&amp;GUIDE[[#This Row],[TVGID]]</f>
        <v>singtel.com-Channel8.sg@SD</v>
      </c>
      <c r="B465" t="s">
        <v>1936</v>
      </c>
      <c r="C465" s="3" t="s">
        <v>2013</v>
      </c>
      <c r="D465" t="s">
        <v>920</v>
      </c>
      <c r="E465" t="s">
        <v>2014</v>
      </c>
      <c r="F465" t="s">
        <v>2015</v>
      </c>
    </row>
    <row r="466" spans="1:6" x14ac:dyDescent="0.55000000000000004">
      <c r="A466" s="4" t="str">
        <f>GUIDE[[#This Row],[SITE]]&amp;"-"&amp;GUIDE[[#This Row],[TVGID]]</f>
        <v>singtel.com-ChannelU.sg@SD</v>
      </c>
      <c r="B466" t="s">
        <v>1936</v>
      </c>
      <c r="C466" s="3" t="s">
        <v>2016</v>
      </c>
      <c r="D466" t="s">
        <v>920</v>
      </c>
      <c r="E466" t="s">
        <v>2017</v>
      </c>
      <c r="F466" t="s">
        <v>2018</v>
      </c>
    </row>
    <row r="467" spans="1:6" x14ac:dyDescent="0.55000000000000004">
      <c r="A467" s="4" t="str">
        <f>GUIDE[[#This Row],[SITE]]&amp;"-"&amp;GUIDE[[#This Row],[TVGID]]</f>
        <v>singtel.com-ChinaMovieChannel.cn@SD</v>
      </c>
      <c r="B467" t="s">
        <v>1936</v>
      </c>
      <c r="C467" s="3" t="s">
        <v>2019</v>
      </c>
      <c r="D467" t="s">
        <v>920</v>
      </c>
      <c r="E467" t="s">
        <v>2020</v>
      </c>
      <c r="F467" t="s">
        <v>2021</v>
      </c>
    </row>
    <row r="468" spans="1:6" x14ac:dyDescent="0.55000000000000004">
      <c r="A468" s="4" t="str">
        <f>GUIDE[[#This Row],[SITE]]&amp;"-"&amp;GUIDE[[#This Row],[TVGID]]</f>
        <v>singtel.com-CinemaOneGlobal.ph@SD</v>
      </c>
      <c r="B468" t="s">
        <v>1936</v>
      </c>
      <c r="C468" s="3" t="s">
        <v>2022</v>
      </c>
      <c r="D468" t="s">
        <v>920</v>
      </c>
      <c r="E468" t="s">
        <v>2023</v>
      </c>
      <c r="F468" t="s">
        <v>2024</v>
      </c>
    </row>
    <row r="469" spans="1:6" x14ac:dyDescent="0.55000000000000004">
      <c r="A469" s="4" t="str">
        <f>GUIDE[[#This Row],[SITE]]&amp;"-"&amp;GUIDE[[#This Row],[TVGID]]</f>
        <v>singtel.com-CinemaxAsia.sg@SD</v>
      </c>
      <c r="B469" t="s">
        <v>1936</v>
      </c>
      <c r="C469" s="3" t="s">
        <v>2025</v>
      </c>
      <c r="D469" t="s">
        <v>920</v>
      </c>
      <c r="E469" t="s">
        <v>600</v>
      </c>
      <c r="F469" t="s">
        <v>2026</v>
      </c>
    </row>
    <row r="470" spans="1:6" x14ac:dyDescent="0.55000000000000004">
      <c r="A470" s="4" t="str">
        <f>GUIDE[[#This Row],[SITE]]&amp;"-"&amp;GUIDE[[#This Row],[TVGID]]</f>
        <v>singtel.com-CitraDrama.id@SD</v>
      </c>
      <c r="B470" t="s">
        <v>1936</v>
      </c>
      <c r="C470" s="3" t="s">
        <v>2027</v>
      </c>
      <c r="D470" t="s">
        <v>920</v>
      </c>
      <c r="E470" t="s">
        <v>593</v>
      </c>
      <c r="F470" t="s">
        <v>2028</v>
      </c>
    </row>
    <row r="471" spans="1:6" x14ac:dyDescent="0.55000000000000004">
      <c r="A471" s="4" t="str">
        <f>GUIDE[[#This Row],[SITE]]&amp;"-"&amp;GUIDE[[#This Row],[TVGID]]</f>
        <v>singtel.com-CNA.sg@SD</v>
      </c>
      <c r="B471" t="s">
        <v>1936</v>
      </c>
      <c r="C471" s="3" t="s">
        <v>2029</v>
      </c>
      <c r="D471" t="s">
        <v>920</v>
      </c>
      <c r="E471" t="s">
        <v>627</v>
      </c>
      <c r="F471" t="s">
        <v>2030</v>
      </c>
    </row>
    <row r="472" spans="1:6" x14ac:dyDescent="0.55000000000000004">
      <c r="A472" s="4" t="str">
        <f>GUIDE[[#This Row],[SITE]]&amp;"-"&amp;GUIDE[[#This Row],[TVGID]]</f>
        <v>singtel.com-CNBCAsia.sg@SD</v>
      </c>
      <c r="B472" t="s">
        <v>1936</v>
      </c>
      <c r="C472" s="3" t="s">
        <v>2031</v>
      </c>
      <c r="D472" t="s">
        <v>920</v>
      </c>
      <c r="E472" t="s">
        <v>626</v>
      </c>
      <c r="F472" t="s">
        <v>2032</v>
      </c>
    </row>
    <row r="473" spans="1:6" x14ac:dyDescent="0.55000000000000004">
      <c r="A473" s="4" t="str">
        <f>GUIDE[[#This Row],[SITE]]&amp;"-"&amp;GUIDE[[#This Row],[TVGID]]</f>
        <v>singtel.com-CNNInternational.us@AsiaPacific</v>
      </c>
      <c r="B473" t="s">
        <v>1936</v>
      </c>
      <c r="C473" s="3" t="s">
        <v>2033</v>
      </c>
      <c r="D473" t="s">
        <v>920</v>
      </c>
      <c r="E473" t="s">
        <v>373</v>
      </c>
      <c r="F473" t="s">
        <v>2034</v>
      </c>
    </row>
    <row r="474" spans="1:6" x14ac:dyDescent="0.55000000000000004">
      <c r="A474" s="4" t="str">
        <f>GUIDE[[#This Row],[SITE]]&amp;"-"&amp;GUIDE[[#This Row],[TVGID]]</f>
        <v>singtel.com-Colors.in@SD</v>
      </c>
      <c r="B474" t="s">
        <v>1936</v>
      </c>
      <c r="C474" s="3" t="s">
        <v>2035</v>
      </c>
      <c r="D474" t="s">
        <v>920</v>
      </c>
      <c r="E474" t="s">
        <v>2036</v>
      </c>
      <c r="F474" t="s">
        <v>2037</v>
      </c>
    </row>
    <row r="475" spans="1:6" x14ac:dyDescent="0.55000000000000004">
      <c r="A475" s="4" t="str">
        <f>GUIDE[[#This Row],[SITE]]&amp;"-"&amp;GUIDE[[#This Row],[TVGID]]</f>
        <v>singtel.com-ColorsTamil.in@SD</v>
      </c>
      <c r="B475" t="s">
        <v>1936</v>
      </c>
      <c r="C475" s="3" t="s">
        <v>2038</v>
      </c>
      <c r="D475" t="s">
        <v>920</v>
      </c>
      <c r="E475" t="s">
        <v>2039</v>
      </c>
      <c r="F475" t="s">
        <v>2040</v>
      </c>
    </row>
    <row r="476" spans="1:6" x14ac:dyDescent="0.55000000000000004">
      <c r="A476" s="4" t="str">
        <f>GUIDE[[#This Row],[SITE]]&amp;"-"&amp;GUIDE[[#This Row],[TVGID]]</f>
        <v>singtel.com-CrimePlusInvestigationAsia.sg@SD</v>
      </c>
      <c r="B476" t="s">
        <v>1936</v>
      </c>
      <c r="C476" s="3" t="s">
        <v>2041</v>
      </c>
      <c r="D476" t="s">
        <v>920</v>
      </c>
      <c r="E476" t="s">
        <v>554</v>
      </c>
      <c r="F476" t="s">
        <v>2042</v>
      </c>
    </row>
    <row r="477" spans="1:6" x14ac:dyDescent="0.55000000000000004">
      <c r="A477" s="4" t="str">
        <f>GUIDE[[#This Row],[SITE]]&amp;"-"&amp;GUIDE[[#This Row],[TVGID]]</f>
        <v>singtel.com-CTiTV.tw@SD</v>
      </c>
      <c r="B477" t="s">
        <v>1936</v>
      </c>
      <c r="C477" s="3" t="s">
        <v>2043</v>
      </c>
      <c r="D477" t="s">
        <v>920</v>
      </c>
      <c r="E477" t="s">
        <v>2044</v>
      </c>
      <c r="F477" t="s">
        <v>2045</v>
      </c>
    </row>
    <row r="478" spans="1:6" x14ac:dyDescent="0.55000000000000004">
      <c r="A478" s="4" t="str">
        <f>GUIDE[[#This Row],[SITE]]&amp;"-"&amp;GUIDE[[#This Row],[TVGID]]</f>
        <v>singtel.com-DiscoveryChannelSoutheastAsia.sg@SD</v>
      </c>
      <c r="B478" t="s">
        <v>1936</v>
      </c>
      <c r="C478" s="3" t="s">
        <v>2046</v>
      </c>
      <c r="D478" t="s">
        <v>920</v>
      </c>
      <c r="E478" t="s">
        <v>921</v>
      </c>
      <c r="F478" t="s">
        <v>2047</v>
      </c>
    </row>
    <row r="479" spans="1:6" x14ac:dyDescent="0.55000000000000004">
      <c r="A479" s="4" t="str">
        <f>GUIDE[[#This Row],[SITE]]&amp;"-"&amp;GUIDE[[#This Row],[TVGID]]</f>
        <v>singtel.com-DragonTVInternational.cn@SD</v>
      </c>
      <c r="B479" t="s">
        <v>1936</v>
      </c>
      <c r="C479" s="3" t="s">
        <v>2048</v>
      </c>
      <c r="D479" t="s">
        <v>920</v>
      </c>
      <c r="E479" t="s">
        <v>2049</v>
      </c>
      <c r="F479" t="s">
        <v>2050</v>
      </c>
    </row>
    <row r="480" spans="1:6" x14ac:dyDescent="0.55000000000000004">
      <c r="A480" s="4" t="str">
        <f>GUIDE[[#This Row],[SITE]]&amp;"-"&amp;GUIDE[[#This Row],[TVGID]]</f>
        <v>singtel.com-DW.de@English</v>
      </c>
      <c r="B480" t="s">
        <v>1936</v>
      </c>
      <c r="C480" s="3" t="s">
        <v>2051</v>
      </c>
      <c r="D480" t="s">
        <v>920</v>
      </c>
      <c r="E480" t="s">
        <v>376</v>
      </c>
      <c r="F480" t="s">
        <v>2052</v>
      </c>
    </row>
    <row r="481" spans="1:6" x14ac:dyDescent="0.55000000000000004">
      <c r="A481" s="4" t="str">
        <f>GUIDE[[#This Row],[SITE]]&amp;"-"&amp;GUIDE[[#This Row],[TVGID]]</f>
        <v>singtel.com-EBCNewsAsia.tw@SD</v>
      </c>
      <c r="B481" t="s">
        <v>1936</v>
      </c>
      <c r="C481" s="3" t="s">
        <v>2053</v>
      </c>
      <c r="D481" t="s">
        <v>920</v>
      </c>
      <c r="E481" t="s">
        <v>2054</v>
      </c>
      <c r="F481" t="s">
        <v>2055</v>
      </c>
    </row>
    <row r="482" spans="1:6" x14ac:dyDescent="0.55000000000000004">
      <c r="A482" s="4" t="str">
        <f>GUIDE[[#This Row],[SITE]]&amp;"-"&amp;GUIDE[[#This Row],[TVGID]]</f>
        <v>singtel.com-ETTVAsiaNews.tw@SD</v>
      </c>
      <c r="B482" t="s">
        <v>1936</v>
      </c>
      <c r="C482" s="3" t="s">
        <v>2056</v>
      </c>
      <c r="D482" t="s">
        <v>920</v>
      </c>
      <c r="E482" t="s">
        <v>2057</v>
      </c>
      <c r="F482" t="s">
        <v>2058</v>
      </c>
    </row>
    <row r="483" spans="1:6" x14ac:dyDescent="0.55000000000000004">
      <c r="A483" s="4" t="str">
        <f>GUIDE[[#This Row],[SITE]]&amp;"-"&amp;GUIDE[[#This Row],[TVGID]]</f>
        <v>singtel.com-FightSports.us@SD</v>
      </c>
      <c r="B483" t="s">
        <v>1936</v>
      </c>
      <c r="C483" s="3" t="s">
        <v>2059</v>
      </c>
      <c r="D483" t="s">
        <v>920</v>
      </c>
      <c r="E483" t="s">
        <v>616</v>
      </c>
      <c r="F483" t="s">
        <v>2060</v>
      </c>
    </row>
    <row r="484" spans="1:6" x14ac:dyDescent="0.55000000000000004">
      <c r="A484" s="4" t="str">
        <f>GUIDE[[#This Row],[SITE]]&amp;"-"&amp;GUIDE[[#This Row],[TVGID]]</f>
        <v>singtel.com-FoxNewsChannel.us@SD</v>
      </c>
      <c r="B484" t="s">
        <v>1936</v>
      </c>
      <c r="C484" s="3" t="s">
        <v>2061</v>
      </c>
      <c r="D484" t="s">
        <v>920</v>
      </c>
      <c r="E484" t="s">
        <v>1299</v>
      </c>
      <c r="F484" t="s">
        <v>2062</v>
      </c>
    </row>
    <row r="485" spans="1:6" x14ac:dyDescent="0.55000000000000004">
      <c r="A485" s="4" t="str">
        <f>GUIDE[[#This Row],[SITE]]&amp;"-"&amp;GUIDE[[#This Row],[TVGID]]</f>
        <v>singtel.com-France24.fr@English</v>
      </c>
      <c r="B485" t="s">
        <v>1936</v>
      </c>
      <c r="C485" s="3" t="s">
        <v>2063</v>
      </c>
      <c r="D485" t="s">
        <v>920</v>
      </c>
      <c r="E485" t="s">
        <v>375</v>
      </c>
      <c r="F485" t="s">
        <v>2064</v>
      </c>
    </row>
    <row r="486" spans="1:6" x14ac:dyDescent="0.55000000000000004">
      <c r="A486" s="4" t="str">
        <f>GUIDE[[#This Row],[SITE]]&amp;"-"&amp;GUIDE[[#This Row],[TVGID]]</f>
        <v>singtel.com-France24.fr@French</v>
      </c>
      <c r="B486" t="s">
        <v>1936</v>
      </c>
      <c r="C486" s="3" t="s">
        <v>2065</v>
      </c>
      <c r="D486" t="s">
        <v>920</v>
      </c>
      <c r="E486" t="s">
        <v>1466</v>
      </c>
      <c r="F486" t="s">
        <v>1467</v>
      </c>
    </row>
    <row r="487" spans="1:6" x14ac:dyDescent="0.55000000000000004">
      <c r="A487" s="4" t="str">
        <f>GUIDE[[#This Row],[SITE]]&amp;"-"&amp;GUIDE[[#This Row],[TVGID]]</f>
        <v>singtel.com-GlobalTrekker.sg@SD</v>
      </c>
      <c r="B487" t="s">
        <v>1936</v>
      </c>
      <c r="C487" s="3" t="s">
        <v>2066</v>
      </c>
      <c r="D487" t="s">
        <v>920</v>
      </c>
      <c r="E487" t="s">
        <v>1304</v>
      </c>
      <c r="F487" t="s">
        <v>2067</v>
      </c>
    </row>
    <row r="488" spans="1:6" x14ac:dyDescent="0.55000000000000004">
      <c r="A488" s="4" t="str">
        <f>GUIDE[[#This Row],[SITE]]&amp;"-"&amp;GUIDE[[#This Row],[TVGID]]</f>
        <v>singtel.com-GMALifeTV.ph@SD</v>
      </c>
      <c r="B488" t="s">
        <v>1936</v>
      </c>
      <c r="C488" s="3" t="s">
        <v>2068</v>
      </c>
      <c r="D488" t="s">
        <v>920</v>
      </c>
      <c r="E488" t="s">
        <v>1469</v>
      </c>
      <c r="F488" t="s">
        <v>1470</v>
      </c>
    </row>
    <row r="489" spans="1:6" x14ac:dyDescent="0.55000000000000004">
      <c r="A489" s="4" t="str">
        <f>GUIDE[[#This Row],[SITE]]&amp;"-"&amp;GUIDE[[#This Row],[TVGID]]</f>
        <v>singtel.com-GMANewsTV.ph@SD</v>
      </c>
      <c r="B489" t="s">
        <v>1936</v>
      </c>
      <c r="C489" s="3" t="s">
        <v>2069</v>
      </c>
      <c r="D489" t="s">
        <v>920</v>
      </c>
      <c r="E489" t="s">
        <v>1472</v>
      </c>
      <c r="F489" t="s">
        <v>1473</v>
      </c>
    </row>
    <row r="490" spans="1:6" x14ac:dyDescent="0.55000000000000004">
      <c r="A490" s="4" t="str">
        <f>GUIDE[[#This Row],[SITE]]&amp;"-"&amp;GUIDE[[#This Row],[TVGID]]</f>
        <v>singtel.com-GMAPinoyTV.ph@SD</v>
      </c>
      <c r="B490" t="s">
        <v>1936</v>
      </c>
      <c r="C490" s="3" t="s">
        <v>2070</v>
      </c>
      <c r="D490" t="s">
        <v>920</v>
      </c>
      <c r="E490" t="s">
        <v>2071</v>
      </c>
      <c r="F490" t="s">
        <v>1476</v>
      </c>
    </row>
    <row r="491" spans="1:6" x14ac:dyDescent="0.55000000000000004">
      <c r="A491" s="4" t="str">
        <f>GUIDE[[#This Row],[SITE]]&amp;"-"&amp;GUIDE[[#This Row],[TVGID]]</f>
        <v>singtel.com-HBOAsia.sg@SD</v>
      </c>
      <c r="B491" t="s">
        <v>1936</v>
      </c>
      <c r="C491" s="3" t="s">
        <v>2072</v>
      </c>
      <c r="D491" t="s">
        <v>920</v>
      </c>
      <c r="E491" t="s">
        <v>598</v>
      </c>
      <c r="F491" t="s">
        <v>2073</v>
      </c>
    </row>
    <row r="492" spans="1:6" x14ac:dyDescent="0.55000000000000004">
      <c r="A492" s="4" t="str">
        <f>GUIDE[[#This Row],[SITE]]&amp;"-"&amp;GUIDE[[#This Row],[TVGID]]</f>
        <v>singtel.com-HBOFamilyAsia.sg@SD</v>
      </c>
      <c r="B492" t="s">
        <v>1936</v>
      </c>
      <c r="C492" s="3" t="s">
        <v>2074</v>
      </c>
      <c r="D492" t="s">
        <v>920</v>
      </c>
      <c r="E492" t="s">
        <v>602</v>
      </c>
      <c r="F492" t="s">
        <v>2075</v>
      </c>
    </row>
    <row r="493" spans="1:6" x14ac:dyDescent="0.55000000000000004">
      <c r="A493" s="4" t="str">
        <f>GUIDE[[#This Row],[SITE]]&amp;"-"&amp;GUIDE[[#This Row],[TVGID]]</f>
        <v>singtel.com-HBOHitsAsia.sg@SD</v>
      </c>
      <c r="B493" t="s">
        <v>1936</v>
      </c>
      <c r="C493" s="3" t="s">
        <v>2076</v>
      </c>
      <c r="D493" t="s">
        <v>920</v>
      </c>
      <c r="E493" t="s">
        <v>601</v>
      </c>
      <c r="F493" t="s">
        <v>2077</v>
      </c>
    </row>
    <row r="494" spans="1:6" x14ac:dyDescent="0.55000000000000004">
      <c r="A494" s="4" t="str">
        <f>GUIDE[[#This Row],[SITE]]&amp;"-"&amp;GUIDE[[#This Row],[TVGID]]</f>
        <v>singtel.com-HBOSignatureAsia.sg@SD</v>
      </c>
      <c r="B494" t="s">
        <v>1936</v>
      </c>
      <c r="C494" s="3" t="s">
        <v>2078</v>
      </c>
      <c r="D494" t="s">
        <v>920</v>
      </c>
      <c r="E494" t="s">
        <v>599</v>
      </c>
      <c r="F494" t="s">
        <v>2079</v>
      </c>
    </row>
    <row r="495" spans="1:6" x14ac:dyDescent="0.55000000000000004">
      <c r="A495" s="4" t="str">
        <f>GUIDE[[#This Row],[SITE]]&amp;"-"&amp;GUIDE[[#This Row],[TVGID]]</f>
        <v>singtel.com-HGTVAsia.us@SD</v>
      </c>
      <c r="B495" t="s">
        <v>1936</v>
      </c>
      <c r="C495" s="3" t="s">
        <v>2080</v>
      </c>
      <c r="D495" t="s">
        <v>920</v>
      </c>
      <c r="E495" t="s">
        <v>575</v>
      </c>
      <c r="F495" t="s">
        <v>2081</v>
      </c>
    </row>
    <row r="496" spans="1:6" x14ac:dyDescent="0.55000000000000004">
      <c r="A496" s="4" t="str">
        <f>GUIDE[[#This Row],[SITE]]&amp;"-"&amp;GUIDE[[#This Row],[TVGID]]</f>
        <v>singtel.com-HistoryAsia.us@SD</v>
      </c>
      <c r="B496" t="s">
        <v>1936</v>
      </c>
      <c r="C496" s="3" t="s">
        <v>2082</v>
      </c>
      <c r="D496" t="s">
        <v>920</v>
      </c>
      <c r="E496" t="s">
        <v>556</v>
      </c>
      <c r="F496" t="s">
        <v>2083</v>
      </c>
    </row>
    <row r="497" spans="1:6" x14ac:dyDescent="0.55000000000000004">
      <c r="A497" s="4" t="str">
        <f>GUIDE[[#This Row],[SITE]]&amp;"-"&amp;GUIDE[[#This Row],[TVGID]]</f>
        <v>singtel.com-HITS.sg@SD</v>
      </c>
      <c r="B497" t="s">
        <v>1936</v>
      </c>
      <c r="C497" s="3" t="s">
        <v>2084</v>
      </c>
      <c r="D497" t="s">
        <v>920</v>
      </c>
      <c r="E497" t="s">
        <v>580</v>
      </c>
      <c r="F497" t="s">
        <v>2085</v>
      </c>
    </row>
    <row r="498" spans="1:6" x14ac:dyDescent="0.55000000000000004">
      <c r="A498" s="4" t="str">
        <f>GUIDE[[#This Row],[SITE]]&amp;"-"&amp;GUIDE[[#This Row],[TVGID]]</f>
        <v>singtel.com-HITSMovies.sg@SD</v>
      </c>
      <c r="B498" t="s">
        <v>1936</v>
      </c>
      <c r="C498" s="3" t="s">
        <v>2086</v>
      </c>
      <c r="D498" t="s">
        <v>920</v>
      </c>
      <c r="E498" t="s">
        <v>603</v>
      </c>
      <c r="F498" t="s">
        <v>2087</v>
      </c>
    </row>
    <row r="499" spans="1:6" x14ac:dyDescent="0.55000000000000004">
      <c r="A499" s="4" t="str">
        <f>GUIDE[[#This Row],[SITE]]&amp;"-"&amp;GUIDE[[#This Row],[TVGID]]</f>
        <v>singtel.com-HITSNOW.sg@SD</v>
      </c>
      <c r="B499" t="s">
        <v>1936</v>
      </c>
      <c r="C499" s="3" t="s">
        <v>2088</v>
      </c>
      <c r="D499" t="s">
        <v>920</v>
      </c>
      <c r="E499" t="s">
        <v>642</v>
      </c>
      <c r="F499" t="s">
        <v>2089</v>
      </c>
    </row>
    <row r="500" spans="1:6" x14ac:dyDescent="0.55000000000000004">
      <c r="A500" s="4" t="str">
        <f>GUIDE[[#This Row],[SITE]]&amp;"-"&amp;GUIDE[[#This Row],[TVGID]]</f>
        <v>singtel.com-HubPremier1.sg@SD</v>
      </c>
      <c r="B500" t="s">
        <v>1936</v>
      </c>
      <c r="C500" s="3" t="s">
        <v>2090</v>
      </c>
      <c r="D500" t="s">
        <v>920</v>
      </c>
      <c r="E500" t="s">
        <v>2091</v>
      </c>
      <c r="F500" t="s">
        <v>2092</v>
      </c>
    </row>
    <row r="501" spans="1:6" x14ac:dyDescent="0.55000000000000004">
      <c r="A501" s="4" t="str">
        <f>GUIDE[[#This Row],[SITE]]&amp;"-"&amp;GUIDE[[#This Row],[TVGID]]</f>
        <v>singtel.com-HubPremier2.sg@SD</v>
      </c>
      <c r="B501" t="s">
        <v>1936</v>
      </c>
      <c r="C501" s="3" t="s">
        <v>2093</v>
      </c>
      <c r="D501" t="s">
        <v>920</v>
      </c>
      <c r="E501" t="s">
        <v>2094</v>
      </c>
      <c r="F501" t="s">
        <v>2095</v>
      </c>
    </row>
    <row r="502" spans="1:6" x14ac:dyDescent="0.55000000000000004">
      <c r="A502" s="4" t="str">
        <f>GUIDE[[#This Row],[SITE]]&amp;"-"&amp;GUIDE[[#This Row],[TVGID]]</f>
        <v>singtel.com-HubPremier3.sg@SD</v>
      </c>
      <c r="B502" t="s">
        <v>1936</v>
      </c>
      <c r="C502" s="3" t="s">
        <v>2096</v>
      </c>
      <c r="D502" t="s">
        <v>920</v>
      </c>
      <c r="E502" t="s">
        <v>2097</v>
      </c>
      <c r="F502" t="s">
        <v>2098</v>
      </c>
    </row>
    <row r="503" spans="1:6" x14ac:dyDescent="0.55000000000000004">
      <c r="A503" s="4" t="str">
        <f>GUIDE[[#This Row],[SITE]]&amp;"-"&amp;GUIDE[[#This Row],[TVGID]]</f>
        <v>singtel.com-HubPremier4.sg@SD</v>
      </c>
      <c r="B503" t="s">
        <v>1936</v>
      </c>
      <c r="C503" s="3" t="s">
        <v>2099</v>
      </c>
      <c r="D503" t="s">
        <v>920</v>
      </c>
      <c r="E503" t="s">
        <v>2100</v>
      </c>
      <c r="F503" t="s">
        <v>2101</v>
      </c>
    </row>
    <row r="504" spans="1:6" x14ac:dyDescent="0.55000000000000004">
      <c r="A504" s="4" t="str">
        <f>GUIDE[[#This Row],[SITE]]&amp;"-"&amp;GUIDE[[#This Row],[TVGID]]</f>
        <v>singtel.com-HubPremier5.sg@SD</v>
      </c>
      <c r="B504" t="s">
        <v>1936</v>
      </c>
      <c r="C504" s="3" t="s">
        <v>2102</v>
      </c>
      <c r="D504" t="s">
        <v>920</v>
      </c>
      <c r="E504" t="s">
        <v>2103</v>
      </c>
      <c r="F504" t="s">
        <v>2104</v>
      </c>
    </row>
    <row r="505" spans="1:6" x14ac:dyDescent="0.55000000000000004">
      <c r="A505" s="4" t="str">
        <f>GUIDE[[#This Row],[SITE]]&amp;"-"&amp;GUIDE[[#This Row],[TVGID]]</f>
        <v>singtel.com-HubPremier6.sg@SD</v>
      </c>
      <c r="B505" t="s">
        <v>1936</v>
      </c>
      <c r="C505" s="3" t="s">
        <v>2105</v>
      </c>
      <c r="D505" t="s">
        <v>920</v>
      </c>
      <c r="E505" t="s">
        <v>2106</v>
      </c>
      <c r="F505" t="s">
        <v>2107</v>
      </c>
    </row>
    <row r="506" spans="1:6" x14ac:dyDescent="0.55000000000000004">
      <c r="A506" s="4" t="str">
        <f>GUIDE[[#This Row],[SITE]]&amp;"-"&amp;GUIDE[[#This Row],[TVGID]]</f>
        <v>singtel.com-HunanTVInternational.cn@SD</v>
      </c>
      <c r="B506" t="s">
        <v>1936</v>
      </c>
      <c r="C506" s="3" t="s">
        <v>2108</v>
      </c>
      <c r="D506" t="s">
        <v>920</v>
      </c>
      <c r="E506" t="s">
        <v>2109</v>
      </c>
      <c r="F506" t="s">
        <v>2110</v>
      </c>
    </row>
    <row r="507" spans="1:6" x14ac:dyDescent="0.55000000000000004">
      <c r="A507" s="4" t="str">
        <f>GUIDE[[#This Row],[SITE]]&amp;"-"&amp;GUIDE[[#This Row],[TVGID]]</f>
        <v>singtel.com-Jade.hk@SD</v>
      </c>
      <c r="B507" t="s">
        <v>1936</v>
      </c>
      <c r="C507" s="3" t="s">
        <v>2111</v>
      </c>
      <c r="D507" t="s">
        <v>920</v>
      </c>
      <c r="E507" t="s">
        <v>2112</v>
      </c>
      <c r="F507" t="s">
        <v>2113</v>
      </c>
    </row>
    <row r="508" spans="1:6" x14ac:dyDescent="0.55000000000000004">
      <c r="A508" s="4" t="str">
        <f>GUIDE[[#This Row],[SITE]]&amp;"-"&amp;GUIDE[[#This Row],[TVGID]]</f>
        <v>singtel.com-KBSWorld.kr@SD</v>
      </c>
      <c r="B508" t="s">
        <v>1936</v>
      </c>
      <c r="C508" s="3" t="s">
        <v>2114</v>
      </c>
      <c r="D508" t="s">
        <v>920</v>
      </c>
      <c r="E508" t="s">
        <v>585</v>
      </c>
      <c r="F508" t="s">
        <v>2115</v>
      </c>
    </row>
    <row r="509" spans="1:6" x14ac:dyDescent="0.55000000000000004">
      <c r="A509" s="4" t="str">
        <f>GUIDE[[#This Row],[SITE]]&amp;"-"&amp;GUIDE[[#This Row],[TVGID]]</f>
        <v>singtel.com-KTV.in@SD</v>
      </c>
      <c r="B509" t="s">
        <v>1936</v>
      </c>
      <c r="C509" s="3" t="s">
        <v>2116</v>
      </c>
      <c r="D509" t="s">
        <v>920</v>
      </c>
      <c r="E509" t="s">
        <v>2117</v>
      </c>
      <c r="F509" t="s">
        <v>2118</v>
      </c>
    </row>
    <row r="510" spans="1:6" x14ac:dyDescent="0.55000000000000004">
      <c r="A510" s="4" t="str">
        <f>GUIDE[[#This Row],[SITE]]&amp;"-"&amp;GUIDE[[#This Row],[TVGID]]</f>
        <v>singtel.com-LifetimeAsia.us@SD</v>
      </c>
      <c r="B510" t="s">
        <v>1936</v>
      </c>
      <c r="C510" s="3" t="s">
        <v>2119</v>
      </c>
      <c r="D510" t="s">
        <v>920</v>
      </c>
      <c r="E510" t="s">
        <v>578</v>
      </c>
      <c r="F510" t="s">
        <v>2120</v>
      </c>
    </row>
    <row r="511" spans="1:6" x14ac:dyDescent="0.55000000000000004">
      <c r="A511" s="4" t="str">
        <f>GUIDE[[#This Row],[SITE]]&amp;"-"&amp;GUIDE[[#This Row],[TVGID]]</f>
        <v>singtel.com-LoveNature.ca@SD</v>
      </c>
      <c r="B511" t="s">
        <v>1936</v>
      </c>
      <c r="C511" s="3" t="s">
        <v>2121</v>
      </c>
      <c r="D511" t="s">
        <v>920</v>
      </c>
      <c r="E511" t="s">
        <v>559</v>
      </c>
      <c r="F511" t="s">
        <v>2122</v>
      </c>
    </row>
    <row r="512" spans="1:6" x14ac:dyDescent="0.55000000000000004">
      <c r="A512" s="4" t="str">
        <f>GUIDE[[#This Row],[SITE]]&amp;"-"&amp;GUIDE[[#This Row],[TVGID]]</f>
        <v>singtel.com-MTVAsia.sg@SD</v>
      </c>
      <c r="B512" t="s">
        <v>1936</v>
      </c>
      <c r="C512" s="3" t="s">
        <v>2123</v>
      </c>
      <c r="D512" t="s">
        <v>920</v>
      </c>
      <c r="E512" t="s">
        <v>2124</v>
      </c>
      <c r="F512" t="s">
        <v>1493</v>
      </c>
    </row>
    <row r="513" spans="1:6" x14ac:dyDescent="0.55000000000000004">
      <c r="A513" s="4" t="str">
        <f>GUIDE[[#This Row],[SITE]]&amp;"-"&amp;GUIDE[[#This Row],[TVGID]]</f>
        <v>singtel.com-NHKWorldJapan.jp@SD</v>
      </c>
      <c r="B513" t="s">
        <v>1936</v>
      </c>
      <c r="C513" s="3" t="s">
        <v>2125</v>
      </c>
      <c r="D513" t="s">
        <v>920</v>
      </c>
      <c r="E513" t="s">
        <v>628</v>
      </c>
      <c r="F513" t="s">
        <v>2126</v>
      </c>
    </row>
    <row r="514" spans="1:6" x14ac:dyDescent="0.55000000000000004">
      <c r="A514" s="4" t="str">
        <f>GUIDE[[#This Row],[SITE]]&amp;"-"&amp;GUIDE[[#This Row],[TVGID]]</f>
        <v>singtel.com-NHKWorldPremium.jp@SD</v>
      </c>
      <c r="B514" t="s">
        <v>1936</v>
      </c>
      <c r="C514" s="3" t="s">
        <v>2127</v>
      </c>
      <c r="D514" t="s">
        <v>920</v>
      </c>
      <c r="E514" t="s">
        <v>587</v>
      </c>
      <c r="F514" t="s">
        <v>1001</v>
      </c>
    </row>
    <row r="515" spans="1:6" x14ac:dyDescent="0.55000000000000004">
      <c r="A515" s="4" t="str">
        <f>GUIDE[[#This Row],[SITE]]&amp;"-"&amp;GUIDE[[#This Row],[TVGID]]</f>
        <v>singtel.com-NickelodeonAsia.sg@SD</v>
      </c>
      <c r="B515" t="s">
        <v>1936</v>
      </c>
      <c r="C515" s="3" t="s">
        <v>2128</v>
      </c>
      <c r="D515" t="s">
        <v>920</v>
      </c>
      <c r="E515" t="s">
        <v>561</v>
      </c>
      <c r="F515" t="s">
        <v>2129</v>
      </c>
    </row>
    <row r="516" spans="1:6" x14ac:dyDescent="0.55000000000000004">
      <c r="A516" s="4" t="str">
        <f>GUIDE[[#This Row],[SITE]]&amp;"-"&amp;GUIDE[[#This Row],[TVGID]]</f>
        <v>singtel.com-NickJrAsia.sg@SD</v>
      </c>
      <c r="B516" t="s">
        <v>1936</v>
      </c>
      <c r="C516" s="3" t="s">
        <v>2130</v>
      </c>
      <c r="D516" t="s">
        <v>920</v>
      </c>
      <c r="E516" t="s">
        <v>562</v>
      </c>
      <c r="F516" t="s">
        <v>1503</v>
      </c>
    </row>
    <row r="517" spans="1:6" x14ac:dyDescent="0.55000000000000004">
      <c r="A517" s="4" t="str">
        <f>GUIDE[[#This Row],[SITE]]&amp;"-"&amp;GUIDE[[#This Row],[TVGID]]</f>
        <v>singtel.com-nowJelli.hk@SD</v>
      </c>
      <c r="B517" t="s">
        <v>1936</v>
      </c>
      <c r="C517" s="3" t="s">
        <v>2131</v>
      </c>
      <c r="D517" t="s">
        <v>920</v>
      </c>
      <c r="E517" t="s">
        <v>1527</v>
      </c>
      <c r="F517" t="s">
        <v>2132</v>
      </c>
    </row>
    <row r="518" spans="1:6" x14ac:dyDescent="0.55000000000000004">
      <c r="A518" s="4" t="str">
        <f>GUIDE[[#This Row],[SITE]]&amp;"-"&amp;GUIDE[[#This Row],[TVGID]]</f>
        <v>singtel.com-ONE.sg@SD</v>
      </c>
      <c r="B518" t="s">
        <v>1936</v>
      </c>
      <c r="C518" s="3" t="s">
        <v>2133</v>
      </c>
      <c r="D518" t="s">
        <v>920</v>
      </c>
      <c r="E518" t="s">
        <v>595</v>
      </c>
      <c r="F518" t="s">
        <v>2134</v>
      </c>
    </row>
    <row r="519" spans="1:6" x14ac:dyDescent="0.55000000000000004">
      <c r="A519" s="4" t="str">
        <f>GUIDE[[#This Row],[SITE]]&amp;"-"&amp;GUIDE[[#This Row],[TVGID]]</f>
        <v>singtel.com-OutdoorChannel.us@SD</v>
      </c>
      <c r="B519" t="s">
        <v>1936</v>
      </c>
      <c r="C519" s="3" t="s">
        <v>2135</v>
      </c>
      <c r="D519" t="s">
        <v>920</v>
      </c>
      <c r="E519" t="s">
        <v>1357</v>
      </c>
      <c r="F519" t="s">
        <v>2136</v>
      </c>
    </row>
    <row r="520" spans="1:6" x14ac:dyDescent="0.55000000000000004">
      <c r="A520" s="4" t="str">
        <f>GUIDE[[#This Row],[SITE]]&amp;"-"&amp;GUIDE[[#This Row],[TVGID]]</f>
        <v>singtel.com-Pesona.my@SD</v>
      </c>
      <c r="B520" t="s">
        <v>1936</v>
      </c>
      <c r="C520" s="3" t="s">
        <v>2137</v>
      </c>
      <c r="D520" t="s">
        <v>920</v>
      </c>
      <c r="E520" t="s">
        <v>2138</v>
      </c>
      <c r="F520" t="s">
        <v>2139</v>
      </c>
    </row>
    <row r="521" spans="1:6" x14ac:dyDescent="0.55000000000000004">
      <c r="A521" s="4" t="str">
        <f>GUIDE[[#This Row],[SITE]]&amp;"-"&amp;GUIDE[[#This Row],[TVGID]]</f>
        <v>singtel.com-PhoenixInfoNewsChannel.hk@SD</v>
      </c>
      <c r="B521" t="s">
        <v>1936</v>
      </c>
      <c r="C521" s="3" t="s">
        <v>2140</v>
      </c>
      <c r="D521" t="s">
        <v>920</v>
      </c>
      <c r="E521" t="s">
        <v>631</v>
      </c>
      <c r="F521" t="s">
        <v>318</v>
      </c>
    </row>
    <row r="522" spans="1:6" x14ac:dyDescent="0.55000000000000004">
      <c r="A522" s="4" t="str">
        <f>GUIDE[[#This Row],[SITE]]&amp;"-"&amp;GUIDE[[#This Row],[TVGID]]</f>
        <v>singtel.com-PremierSports1Asia.ie@SD</v>
      </c>
      <c r="B522" t="s">
        <v>1936</v>
      </c>
      <c r="C522" s="3" t="s">
        <v>2141</v>
      </c>
      <c r="D522" t="s">
        <v>920</v>
      </c>
      <c r="E522" t="s">
        <v>2142</v>
      </c>
      <c r="F522" t="s">
        <v>1613</v>
      </c>
    </row>
    <row r="523" spans="1:6" x14ac:dyDescent="0.55000000000000004">
      <c r="A523" s="4" t="str">
        <f>GUIDE[[#This Row],[SITE]]&amp;"-"&amp;GUIDE[[#This Row],[TVGID]]</f>
        <v>singtel.com-ROCKAction.sg@SD</v>
      </c>
      <c r="B523" t="s">
        <v>1936</v>
      </c>
      <c r="C523" s="3" t="s">
        <v>2143</v>
      </c>
      <c r="D523" t="s">
        <v>920</v>
      </c>
      <c r="E523" t="s">
        <v>928</v>
      </c>
      <c r="F523" t="s">
        <v>2144</v>
      </c>
    </row>
    <row r="524" spans="1:6" x14ac:dyDescent="0.55000000000000004">
      <c r="A524" s="4" t="str">
        <f>GUIDE[[#This Row],[SITE]]&amp;"-"&amp;GUIDE[[#This Row],[TVGID]]</f>
        <v>singtel.com-ROCKEntertainment.sg@SD</v>
      </c>
      <c r="B524" t="s">
        <v>1936</v>
      </c>
      <c r="C524" s="3" t="s">
        <v>2145</v>
      </c>
      <c r="D524" t="s">
        <v>920</v>
      </c>
      <c r="E524" t="s">
        <v>583</v>
      </c>
      <c r="F524" t="s">
        <v>2146</v>
      </c>
    </row>
    <row r="525" spans="1:6" x14ac:dyDescent="0.55000000000000004">
      <c r="A525" s="4" t="str">
        <f>GUIDE[[#This Row],[SITE]]&amp;"-"&amp;GUIDE[[#This Row],[TVGID]]</f>
        <v>singtel.com-RT.ru@SD</v>
      </c>
      <c r="B525" t="s">
        <v>1936</v>
      </c>
      <c r="C525" s="3" t="s">
        <v>2147</v>
      </c>
      <c r="D525" t="s">
        <v>920</v>
      </c>
      <c r="E525" t="s">
        <v>654</v>
      </c>
      <c r="F525" t="s">
        <v>473</v>
      </c>
    </row>
    <row r="526" spans="1:6" x14ac:dyDescent="0.55000000000000004">
      <c r="A526" s="4" t="str">
        <f>GUIDE[[#This Row],[SITE]]&amp;"-"&amp;GUIDE[[#This Row],[TVGID]]</f>
        <v>singtel.com-SkyNewsInternational.uk@SD</v>
      </c>
      <c r="B526" t="s">
        <v>1936</v>
      </c>
      <c r="C526" s="3" t="s">
        <v>2148</v>
      </c>
      <c r="D526" t="s">
        <v>920</v>
      </c>
      <c r="E526" t="s">
        <v>2149</v>
      </c>
      <c r="F526" t="s">
        <v>2150</v>
      </c>
    </row>
    <row r="527" spans="1:6" x14ac:dyDescent="0.55000000000000004">
      <c r="A527" s="4" t="str">
        <f>GUIDE[[#This Row],[SITE]]&amp;"-"&amp;GUIDE[[#This Row],[TVGID]]</f>
        <v>singtel.com-SonyEntertainmentTelevision.in@SD</v>
      </c>
      <c r="B527" t="s">
        <v>1936</v>
      </c>
      <c r="C527" s="3" t="s">
        <v>2151</v>
      </c>
      <c r="D527" t="s">
        <v>920</v>
      </c>
      <c r="E527" t="s">
        <v>1623</v>
      </c>
      <c r="F527" t="s">
        <v>2152</v>
      </c>
    </row>
    <row r="528" spans="1:6" x14ac:dyDescent="0.55000000000000004">
      <c r="A528" s="4" t="str">
        <f>GUIDE[[#This Row],[SITE]]&amp;"-"&amp;GUIDE[[#This Row],[TVGID]]</f>
        <v>singtel.com-SonyMaxSingapore.sg@SD</v>
      </c>
      <c r="B528" t="s">
        <v>1936</v>
      </c>
      <c r="C528" s="3" t="s">
        <v>2153</v>
      </c>
      <c r="D528" t="s">
        <v>920</v>
      </c>
      <c r="E528" t="s">
        <v>2154</v>
      </c>
      <c r="F528" t="s">
        <v>2155</v>
      </c>
    </row>
    <row r="529" spans="1:6" x14ac:dyDescent="0.55000000000000004">
      <c r="A529" s="4" t="str">
        <f>GUIDE[[#This Row],[SITE]]&amp;"-"&amp;GUIDE[[#This Row],[TVGID]]</f>
        <v>singtel.com-SonyYay.in@SD</v>
      </c>
      <c r="B529" t="s">
        <v>1936</v>
      </c>
      <c r="C529" s="3" t="s">
        <v>2156</v>
      </c>
      <c r="D529" t="s">
        <v>920</v>
      </c>
      <c r="E529" t="s">
        <v>2157</v>
      </c>
      <c r="F529" t="s">
        <v>2158</v>
      </c>
    </row>
    <row r="530" spans="1:6" x14ac:dyDescent="0.55000000000000004">
      <c r="A530" s="4" t="str">
        <f>GUIDE[[#This Row],[SITE]]&amp;"-"&amp;GUIDE[[#This Row],[TVGID]]</f>
        <v>singtel.com-SPOTV.kr@SD</v>
      </c>
      <c r="B530" t="s">
        <v>1936</v>
      </c>
      <c r="C530" s="3" t="s">
        <v>2162</v>
      </c>
      <c r="D530" t="s">
        <v>920</v>
      </c>
      <c r="E530" t="s">
        <v>2163</v>
      </c>
      <c r="F530" t="s">
        <v>2164</v>
      </c>
    </row>
    <row r="531" spans="1:6" x14ac:dyDescent="0.55000000000000004">
      <c r="A531" s="4" t="str">
        <f>GUIDE[[#This Row],[SITE]]&amp;"-"&amp;GUIDE[[#This Row],[TVGID]]</f>
        <v>singtel.com-SPOTV2.kr@SD</v>
      </c>
      <c r="B531" t="s">
        <v>1936</v>
      </c>
      <c r="C531" s="3" t="s">
        <v>2159</v>
      </c>
      <c r="D531" t="s">
        <v>920</v>
      </c>
      <c r="E531" t="s">
        <v>2160</v>
      </c>
      <c r="F531" t="s">
        <v>2161</v>
      </c>
    </row>
    <row r="532" spans="1:6" x14ac:dyDescent="0.55000000000000004">
      <c r="A532" s="4" t="str">
        <f>GUIDE[[#This Row],[SITE]]&amp;"-"&amp;GUIDE[[#This Row],[TVGID]]</f>
        <v>singtel.com-StarBharat.in@SD</v>
      </c>
      <c r="B532" t="s">
        <v>1936</v>
      </c>
      <c r="C532" s="3" t="s">
        <v>2165</v>
      </c>
      <c r="D532" t="s">
        <v>920</v>
      </c>
      <c r="E532" t="s">
        <v>1632</v>
      </c>
      <c r="F532" t="s">
        <v>1633</v>
      </c>
    </row>
    <row r="533" spans="1:6" x14ac:dyDescent="0.55000000000000004">
      <c r="A533" s="4" t="str">
        <f>GUIDE[[#This Row],[SITE]]&amp;"-"&amp;GUIDE[[#This Row],[TVGID]]</f>
        <v>singtel.com-StarGold.in@SD</v>
      </c>
      <c r="B533" t="s">
        <v>1936</v>
      </c>
      <c r="C533" s="3" t="s">
        <v>2166</v>
      </c>
      <c r="D533" t="s">
        <v>920</v>
      </c>
      <c r="E533" t="s">
        <v>1635</v>
      </c>
      <c r="F533" t="s">
        <v>2167</v>
      </c>
    </row>
    <row r="534" spans="1:6" x14ac:dyDescent="0.55000000000000004">
      <c r="A534" s="4" t="str">
        <f>GUIDE[[#This Row],[SITE]]&amp;"-"&amp;GUIDE[[#This Row],[TVGID]]</f>
        <v>singtel.com-StarMaa.in@SD</v>
      </c>
      <c r="B534" t="s">
        <v>1936</v>
      </c>
      <c r="C534" s="3" t="s">
        <v>2168</v>
      </c>
      <c r="D534" t="s">
        <v>920</v>
      </c>
      <c r="E534" t="s">
        <v>2169</v>
      </c>
      <c r="F534" t="s">
        <v>2170</v>
      </c>
    </row>
    <row r="535" spans="1:6" x14ac:dyDescent="0.55000000000000004">
      <c r="A535" s="4" t="str">
        <f>GUIDE[[#This Row],[SITE]]&amp;"-"&amp;GUIDE[[#This Row],[TVGID]]</f>
        <v>singtel.com-StarPlus.in@SD</v>
      </c>
      <c r="B535" t="s">
        <v>1936</v>
      </c>
      <c r="C535" s="3" t="s">
        <v>2171</v>
      </c>
      <c r="D535" t="s">
        <v>920</v>
      </c>
      <c r="E535" t="s">
        <v>1638</v>
      </c>
      <c r="F535" t="s">
        <v>2172</v>
      </c>
    </row>
    <row r="536" spans="1:6" x14ac:dyDescent="0.55000000000000004">
      <c r="A536" s="4" t="str">
        <f>GUIDE[[#This Row],[SITE]]&amp;"-"&amp;GUIDE[[#This Row],[TVGID]]</f>
        <v>singtel.com-SunMusic.in@SD</v>
      </c>
      <c r="B536" t="s">
        <v>1936</v>
      </c>
      <c r="C536" s="3" t="s">
        <v>2173</v>
      </c>
      <c r="D536" t="s">
        <v>920</v>
      </c>
      <c r="E536" t="s">
        <v>2174</v>
      </c>
      <c r="F536" t="s">
        <v>2175</v>
      </c>
    </row>
    <row r="537" spans="1:6" x14ac:dyDescent="0.55000000000000004">
      <c r="A537" s="4" t="str">
        <f>GUIDE[[#This Row],[SITE]]&amp;"-"&amp;GUIDE[[#This Row],[TVGID]]</f>
        <v>singtel.com-SunTV.in@SD</v>
      </c>
      <c r="B537" t="s">
        <v>1936</v>
      </c>
      <c r="C537" s="3" t="s">
        <v>2176</v>
      </c>
      <c r="D537" t="s">
        <v>920</v>
      </c>
      <c r="E537" t="s">
        <v>2177</v>
      </c>
      <c r="F537" t="s">
        <v>2178</v>
      </c>
    </row>
    <row r="538" spans="1:6" x14ac:dyDescent="0.55000000000000004">
      <c r="A538" s="4" t="str">
        <f>GUIDE[[#This Row],[SITE]]&amp;"-"&amp;GUIDE[[#This Row],[TVGID]]</f>
        <v>singtel.com-Suria.sg@SD</v>
      </c>
      <c r="B538" t="s">
        <v>1936</v>
      </c>
      <c r="C538" s="3" t="s">
        <v>2179</v>
      </c>
      <c r="D538" t="s">
        <v>920</v>
      </c>
      <c r="E538" t="s">
        <v>2180</v>
      </c>
      <c r="F538" t="s">
        <v>2181</v>
      </c>
    </row>
    <row r="539" spans="1:6" x14ac:dyDescent="0.55000000000000004">
      <c r="A539" s="4" t="str">
        <f>GUIDE[[#This Row],[SITE]]&amp;"-"&amp;GUIDE[[#This Row],[TVGID]]</f>
        <v>singtel.com-TheFilipinoChannelAsia.us@SD</v>
      </c>
      <c r="B539" t="s">
        <v>1936</v>
      </c>
      <c r="C539" s="3" t="s">
        <v>2182</v>
      </c>
      <c r="D539" t="s">
        <v>920</v>
      </c>
      <c r="E539" t="s">
        <v>1641</v>
      </c>
      <c r="F539" t="s">
        <v>2183</v>
      </c>
    </row>
    <row r="540" spans="1:6" x14ac:dyDescent="0.55000000000000004">
      <c r="A540" s="4" t="str">
        <f>GUIDE[[#This Row],[SITE]]&amp;"-"&amp;GUIDE[[#This Row],[TVGID]]</f>
        <v>singtel.com-TimesNow.in@SD</v>
      </c>
      <c r="B540" t="s">
        <v>1936</v>
      </c>
      <c r="C540" s="3" t="s">
        <v>2184</v>
      </c>
      <c r="D540" t="s">
        <v>920</v>
      </c>
      <c r="E540" t="s">
        <v>2185</v>
      </c>
      <c r="F540" t="s">
        <v>2186</v>
      </c>
    </row>
    <row r="541" spans="1:6" x14ac:dyDescent="0.55000000000000004">
      <c r="A541" s="4" t="str">
        <f>GUIDE[[#This Row],[SITE]]&amp;"-"&amp;GUIDE[[#This Row],[TVGID]]</f>
        <v>singtel.com-TLCSoutheastAsia.sg@SD</v>
      </c>
      <c r="B541" t="s">
        <v>1936</v>
      </c>
      <c r="C541" s="3" t="s">
        <v>2187</v>
      </c>
      <c r="D541" t="s">
        <v>920</v>
      </c>
      <c r="E541" t="s">
        <v>572</v>
      </c>
      <c r="F541" t="s">
        <v>2188</v>
      </c>
    </row>
    <row r="542" spans="1:6" x14ac:dyDescent="0.55000000000000004">
      <c r="A542" s="4" t="str">
        <f>GUIDE[[#This Row],[SITE]]&amp;"-"&amp;GUIDE[[#This Row],[TVGID]]</f>
        <v>singtel.com-TraceSportStars.fr@HD</v>
      </c>
      <c r="B542" t="s">
        <v>1936</v>
      </c>
      <c r="C542" s="3" t="s">
        <v>2189</v>
      </c>
      <c r="D542" t="s">
        <v>920</v>
      </c>
      <c r="E542" t="s">
        <v>2190</v>
      </c>
      <c r="F542" t="s">
        <v>2191</v>
      </c>
    </row>
    <row r="543" spans="1:6" x14ac:dyDescent="0.55000000000000004">
      <c r="A543" s="4" t="str">
        <f>GUIDE[[#This Row],[SITE]]&amp;"-"&amp;GUIDE[[#This Row],[TVGID]]</f>
        <v>singtel.com-TVBSAsia.tw@SD</v>
      </c>
      <c r="B543" t="s">
        <v>1936</v>
      </c>
      <c r="C543" s="3" t="s">
        <v>2192</v>
      </c>
      <c r="D543" t="s">
        <v>920</v>
      </c>
      <c r="E543" t="s">
        <v>2193</v>
      </c>
      <c r="F543" t="s">
        <v>2194</v>
      </c>
    </row>
    <row r="544" spans="1:6" x14ac:dyDescent="0.55000000000000004">
      <c r="A544" s="4" t="str">
        <f>GUIDE[[#This Row],[SITE]]&amp;"-"&amp;GUIDE[[#This Row],[TVGID]]</f>
        <v>singtel.com-TVBSNews.tw@SD</v>
      </c>
      <c r="B544" t="s">
        <v>1936</v>
      </c>
      <c r="C544" s="3" t="s">
        <v>2195</v>
      </c>
      <c r="D544" t="s">
        <v>920</v>
      </c>
      <c r="E544" t="s">
        <v>629</v>
      </c>
      <c r="F544" t="s">
        <v>101</v>
      </c>
    </row>
    <row r="545" spans="1:6" x14ac:dyDescent="0.55000000000000004">
      <c r="A545" s="4" t="str">
        <f>GUIDE[[#This Row],[SITE]]&amp;"-"&amp;GUIDE[[#This Row],[TVGID]]</f>
        <v>singtel.com-TVBXingHe.hk@SD</v>
      </c>
      <c r="B545" t="s">
        <v>1936</v>
      </c>
      <c r="C545" s="3" t="s">
        <v>2196</v>
      </c>
      <c r="D545" t="s">
        <v>920</v>
      </c>
      <c r="E545" t="s">
        <v>2197</v>
      </c>
      <c r="F545" t="s">
        <v>2198</v>
      </c>
    </row>
    <row r="546" spans="1:6" x14ac:dyDescent="0.55000000000000004">
      <c r="A546" s="4" t="str">
        <f>GUIDE[[#This Row],[SITE]]&amp;"-"&amp;GUIDE[[#This Row],[TVGID]]</f>
        <v>singtel.com-tvNAsia.hk@SD</v>
      </c>
      <c r="B546" t="s">
        <v>1936</v>
      </c>
      <c r="C546" s="3" t="s">
        <v>2199</v>
      </c>
      <c r="D546" t="s">
        <v>920</v>
      </c>
      <c r="E546" t="s">
        <v>584</v>
      </c>
      <c r="F546" t="s">
        <v>2200</v>
      </c>
    </row>
    <row r="547" spans="1:6" x14ac:dyDescent="0.55000000000000004">
      <c r="A547" s="4" t="str">
        <f>GUIDE[[#This Row],[SITE]]&amp;"-"&amp;GUIDE[[#This Row],[TVGID]]</f>
        <v>singtel.com-Vasantham.sg@SD</v>
      </c>
      <c r="B547" t="s">
        <v>1936</v>
      </c>
      <c r="C547" s="3" t="s">
        <v>2201</v>
      </c>
      <c r="D547" t="s">
        <v>920</v>
      </c>
      <c r="E547" t="s">
        <v>2202</v>
      </c>
      <c r="F547" t="s">
        <v>2203</v>
      </c>
    </row>
    <row r="548" spans="1:6" x14ac:dyDescent="0.55000000000000004">
      <c r="A548" s="4" t="str">
        <f>GUIDE[[#This Row],[SITE]]&amp;"-"&amp;GUIDE[[#This Row],[TVGID]]</f>
        <v>singtel.com-VijayTVAsia.in@SD</v>
      </c>
      <c r="B548" t="s">
        <v>1936</v>
      </c>
      <c r="C548" s="3" t="s">
        <v>2204</v>
      </c>
      <c r="D548" t="s">
        <v>920</v>
      </c>
      <c r="E548" t="s">
        <v>2205</v>
      </c>
      <c r="F548" t="s">
        <v>2206</v>
      </c>
    </row>
    <row r="549" spans="1:6" x14ac:dyDescent="0.55000000000000004">
      <c r="A549" s="4" t="str">
        <f>GUIDE[[#This Row],[SITE]]&amp;"-"&amp;GUIDE[[#This Row],[TVGID]]</f>
        <v>singtel.com-WakuWakuJapanSouthEastAsia.jp@SD</v>
      </c>
      <c r="B549" t="s">
        <v>1936</v>
      </c>
      <c r="C549" s="3" t="s">
        <v>2207</v>
      </c>
      <c r="D549" t="s">
        <v>920</v>
      </c>
      <c r="E549" t="s">
        <v>2208</v>
      </c>
      <c r="F549" t="s">
        <v>2209</v>
      </c>
    </row>
    <row r="550" spans="1:6" x14ac:dyDescent="0.55000000000000004">
      <c r="A550" s="4" t="str">
        <f>GUIDE[[#This Row],[SITE]]&amp;"-"&amp;GUIDE[[#This Row],[TVGID]]</f>
        <v>singtel.com-WION.in@SD</v>
      </c>
      <c r="B550" t="s">
        <v>1936</v>
      </c>
      <c r="C550" s="3" t="s">
        <v>2210</v>
      </c>
      <c r="D550" t="s">
        <v>920</v>
      </c>
      <c r="E550" t="s">
        <v>1037</v>
      </c>
      <c r="F550" t="s">
        <v>1123</v>
      </c>
    </row>
    <row r="551" spans="1:6" x14ac:dyDescent="0.55000000000000004">
      <c r="A551" s="4" t="str">
        <f>GUIDE[[#This Row],[SITE]]&amp;"-"&amp;GUIDE[[#This Row],[TVGID]]</f>
        <v>singtel.com-ZeeTamil.in@SD</v>
      </c>
      <c r="B551" t="s">
        <v>1936</v>
      </c>
      <c r="C551" s="3" t="s">
        <v>2211</v>
      </c>
      <c r="D551" t="s">
        <v>920</v>
      </c>
      <c r="E551" t="s">
        <v>2212</v>
      </c>
      <c r="F551" t="s">
        <v>2213</v>
      </c>
    </row>
    <row r="552" spans="1:6" x14ac:dyDescent="0.55000000000000004">
      <c r="A552" s="4" t="str">
        <f>GUIDE[[#This Row],[SITE]]&amp;"-"&amp;GUIDE[[#This Row],[TVGID]]</f>
        <v>singtel.com-ZeeThirai.in@APAC</v>
      </c>
      <c r="B552" t="s">
        <v>1936</v>
      </c>
      <c r="C552" s="3" t="s">
        <v>2214</v>
      </c>
      <c r="D552" t="s">
        <v>920</v>
      </c>
      <c r="E552" t="s">
        <v>2215</v>
      </c>
      <c r="F552" t="s">
        <v>2216</v>
      </c>
    </row>
    <row r="553" spans="1:6" x14ac:dyDescent="0.55000000000000004">
      <c r="A553" s="4" t="str">
        <f>GUIDE[[#This Row],[SITE]]&amp;"-"&amp;GUIDE[[#This Row],[TVGID]]</f>
        <v>singtel.com-ZeeTV.in@SD</v>
      </c>
      <c r="B553" t="s">
        <v>1936</v>
      </c>
      <c r="C553" s="3" t="s">
        <v>2217</v>
      </c>
      <c r="D553" t="s">
        <v>920</v>
      </c>
      <c r="E553" t="s">
        <v>2218</v>
      </c>
      <c r="F553" t="s">
        <v>2219</v>
      </c>
    </row>
    <row r="554" spans="1:6" x14ac:dyDescent="0.55000000000000004">
      <c r="A554" s="4" t="str">
        <f>GUIDE[[#This Row],[SITE]]&amp;"-"&amp;GUIDE[[#This Row],[TVGID]]</f>
        <v>tivie.id-ANTV.id@SD</v>
      </c>
      <c r="B554" t="s">
        <v>917</v>
      </c>
      <c r="C554" s="3" t="s">
        <v>176</v>
      </c>
      <c r="D554" t="s">
        <v>939</v>
      </c>
      <c r="E554" t="s">
        <v>531</v>
      </c>
      <c r="F554" t="s">
        <v>89</v>
      </c>
    </row>
    <row r="555" spans="1:6" x14ac:dyDescent="0.55000000000000004">
      <c r="A555" s="4" t="str">
        <f>GUIDE[[#This Row],[SITE]]&amp;"-"&amp;GUIDE[[#This Row],[TVGID]]</f>
        <v>tivie.id-AXNAsia.sg@Indonesia</v>
      </c>
      <c r="B555" t="s">
        <v>917</v>
      </c>
      <c r="C555" s="3" t="s">
        <v>107</v>
      </c>
      <c r="D555" t="s">
        <v>939</v>
      </c>
      <c r="E555" t="s">
        <v>372</v>
      </c>
      <c r="F555" t="s">
        <v>59</v>
      </c>
    </row>
    <row r="556" spans="1:6" x14ac:dyDescent="0.55000000000000004">
      <c r="A556" s="4" t="str">
        <f>GUIDE[[#This Row],[SITE]]&amp;"-"&amp;GUIDE[[#This Row],[TVGID]]</f>
        <v>tivie.id-beINSports1.qa@Indonesia</v>
      </c>
      <c r="B556" t="s">
        <v>917</v>
      </c>
      <c r="C556" s="3" t="s">
        <v>1668</v>
      </c>
      <c r="D556" t="s">
        <v>939</v>
      </c>
      <c r="E556" t="s">
        <v>1231</v>
      </c>
      <c r="F556" t="s">
        <v>1232</v>
      </c>
    </row>
    <row r="557" spans="1:6" x14ac:dyDescent="0.55000000000000004">
      <c r="A557" s="4" t="str">
        <f>GUIDE[[#This Row],[SITE]]&amp;"-"&amp;GUIDE[[#This Row],[TVGID]]</f>
        <v>tivie.id-beINSports2.qa@MENA</v>
      </c>
      <c r="B557" t="s">
        <v>917</v>
      </c>
      <c r="C557" s="3" t="s">
        <v>1669</v>
      </c>
      <c r="D557" t="s">
        <v>939</v>
      </c>
      <c r="E557" t="s">
        <v>1234</v>
      </c>
      <c r="F557" t="s">
        <v>1235</v>
      </c>
    </row>
    <row r="558" spans="1:6" x14ac:dyDescent="0.55000000000000004">
      <c r="A558" s="4" t="str">
        <f>GUIDE[[#This Row],[SITE]]&amp;"-"&amp;GUIDE[[#This Row],[TVGID]]</f>
        <v>tivie.id-beINSports3.qa@Indonesia</v>
      </c>
      <c r="B558" t="s">
        <v>917</v>
      </c>
      <c r="C558" s="3" t="s">
        <v>1670</v>
      </c>
      <c r="D558" t="s">
        <v>939</v>
      </c>
      <c r="E558" t="s">
        <v>1237</v>
      </c>
      <c r="F558" t="s">
        <v>1238</v>
      </c>
    </row>
    <row r="559" spans="1:6" x14ac:dyDescent="0.55000000000000004">
      <c r="A559" s="4" t="str">
        <f>GUIDE[[#This Row],[SITE]]&amp;"-"&amp;GUIDE[[#This Row],[TVGID]]</f>
        <v>tivie.id-BTV.id@SD</v>
      </c>
      <c r="B559" t="s">
        <v>917</v>
      </c>
      <c r="C559" s="3" t="s">
        <v>701</v>
      </c>
      <c r="D559" t="s">
        <v>939</v>
      </c>
      <c r="E559" t="s">
        <v>535</v>
      </c>
      <c r="F559" t="s">
        <v>86</v>
      </c>
    </row>
    <row r="560" spans="1:6" x14ac:dyDescent="0.55000000000000004">
      <c r="A560" s="4" t="str">
        <f>GUIDE[[#This Row],[SITE]]&amp;"-"&amp;GUIDE[[#This Row],[TVGID]]</f>
        <v>tivie.id-CelestialClassicMovies.id@SD</v>
      </c>
      <c r="B560" t="s">
        <v>917</v>
      </c>
      <c r="C560" s="3" t="s">
        <v>1671</v>
      </c>
      <c r="D560" t="s">
        <v>939</v>
      </c>
      <c r="E560" t="s">
        <v>1250</v>
      </c>
      <c r="F560" t="s">
        <v>1251</v>
      </c>
    </row>
    <row r="561" spans="1:6" x14ac:dyDescent="0.55000000000000004">
      <c r="A561" s="4" t="str">
        <f>GUIDE[[#This Row],[SITE]]&amp;"-"&amp;GUIDE[[#This Row],[TVGID]]</f>
        <v>tivie.id-CelestialMoviesIndonesia.id@SD</v>
      </c>
      <c r="B561" t="s">
        <v>917</v>
      </c>
      <c r="C561" s="3" t="s">
        <v>879</v>
      </c>
      <c r="D561" t="s">
        <v>939</v>
      </c>
      <c r="E561" t="s">
        <v>605</v>
      </c>
      <c r="F561" t="s">
        <v>706</v>
      </c>
    </row>
    <row r="562" spans="1:6" x14ac:dyDescent="0.55000000000000004">
      <c r="A562" s="4" t="str">
        <f>GUIDE[[#This Row],[SITE]]&amp;"-"&amp;GUIDE[[#This Row],[TVGID]]</f>
        <v>tivie.id-CinemaWorld.my@SD</v>
      </c>
      <c r="B562" t="s">
        <v>917</v>
      </c>
      <c r="C562" s="3" t="s">
        <v>207</v>
      </c>
      <c r="D562" t="s">
        <v>939</v>
      </c>
      <c r="E562" t="s">
        <v>608</v>
      </c>
      <c r="F562" t="s">
        <v>713</v>
      </c>
    </row>
    <row r="563" spans="1:6" x14ac:dyDescent="0.55000000000000004">
      <c r="A563" s="4" t="str">
        <f>GUIDE[[#This Row],[SITE]]&amp;"-"&amp;GUIDE[[#This Row],[TVGID]]</f>
        <v>tivie.id-CinemaxAsia.sg@SD</v>
      </c>
      <c r="B563" t="s">
        <v>917</v>
      </c>
      <c r="C563" s="3" t="s">
        <v>287</v>
      </c>
      <c r="D563" t="s">
        <v>939</v>
      </c>
      <c r="E563" t="s">
        <v>600</v>
      </c>
      <c r="F563" t="s">
        <v>98</v>
      </c>
    </row>
    <row r="564" spans="1:6" x14ac:dyDescent="0.55000000000000004">
      <c r="A564" s="4" t="str">
        <f>GUIDE[[#This Row],[SITE]]&amp;"-"&amp;GUIDE[[#This Row],[TVGID]]</f>
        <v>tivie.id-CNNIndonesia.id@SD</v>
      </c>
      <c r="B564" t="s">
        <v>917</v>
      </c>
      <c r="C564" s="3" t="s">
        <v>235</v>
      </c>
      <c r="D564" t="s">
        <v>939</v>
      </c>
      <c r="E564" t="s">
        <v>525</v>
      </c>
      <c r="F564" t="s">
        <v>1672</v>
      </c>
    </row>
    <row r="565" spans="1:6" x14ac:dyDescent="0.55000000000000004">
      <c r="A565" s="4" t="str">
        <f>GUIDE[[#This Row],[SITE]]&amp;"-"&amp;GUIDE[[#This Row],[TVGID]]</f>
        <v>tivie.id-Galaxy.id@SD</v>
      </c>
      <c r="B565" t="s">
        <v>917</v>
      </c>
      <c r="C565" s="3" t="s">
        <v>209</v>
      </c>
      <c r="D565" t="s">
        <v>939</v>
      </c>
      <c r="E565" t="s">
        <v>609</v>
      </c>
      <c r="F565" t="s">
        <v>99</v>
      </c>
    </row>
    <row r="566" spans="1:6" x14ac:dyDescent="0.55000000000000004">
      <c r="A566" s="4" t="str">
        <f>GUIDE[[#This Row],[SITE]]&amp;"-"&amp;GUIDE[[#This Row],[TVGID]]</f>
        <v>tivie.id-GalaxyPremium.id@SD</v>
      </c>
      <c r="B566" t="s">
        <v>917</v>
      </c>
      <c r="C566" s="3" t="s">
        <v>210</v>
      </c>
      <c r="D566" t="s">
        <v>939</v>
      </c>
      <c r="E566" t="s">
        <v>613</v>
      </c>
      <c r="F566" t="s">
        <v>75</v>
      </c>
    </row>
    <row r="567" spans="1:6" x14ac:dyDescent="0.55000000000000004">
      <c r="A567" s="4" t="str">
        <f>GUIDE[[#This Row],[SITE]]&amp;"-"&amp;GUIDE[[#This Row],[TVGID]]</f>
        <v>tivie.id-GarudaTV.id@SD</v>
      </c>
      <c r="B567" t="s">
        <v>917</v>
      </c>
      <c r="C567" s="3" t="s">
        <v>368</v>
      </c>
      <c r="D567" t="s">
        <v>939</v>
      </c>
      <c r="E567" t="s">
        <v>533</v>
      </c>
      <c r="F567" t="s">
        <v>369</v>
      </c>
    </row>
    <row r="568" spans="1:6" x14ac:dyDescent="0.55000000000000004">
      <c r="A568" s="4" t="str">
        <f>GUIDE[[#This Row],[SITE]]&amp;"-"&amp;GUIDE[[#This Row],[TVGID]]</f>
        <v>tivie.id-GTV.id@SD</v>
      </c>
      <c r="B568" t="s">
        <v>917</v>
      </c>
      <c r="C568" s="3" t="s">
        <v>752</v>
      </c>
      <c r="D568" t="s">
        <v>939</v>
      </c>
      <c r="E568" t="s">
        <v>640</v>
      </c>
      <c r="F568" t="s">
        <v>498</v>
      </c>
    </row>
    <row r="569" spans="1:6" x14ac:dyDescent="0.55000000000000004">
      <c r="A569" s="4" t="str">
        <f>GUIDE[[#This Row],[SITE]]&amp;"-"&amp;GUIDE[[#This Row],[TVGID]]</f>
        <v>tivie.id-HBOAsia.sg@SD</v>
      </c>
      <c r="B569" t="s">
        <v>917</v>
      </c>
      <c r="C569" s="3" t="s">
        <v>286</v>
      </c>
      <c r="D569" t="s">
        <v>939</v>
      </c>
      <c r="E569" t="s">
        <v>598</v>
      </c>
      <c r="F569" t="s">
        <v>66</v>
      </c>
    </row>
    <row r="570" spans="1:6" x14ac:dyDescent="0.55000000000000004">
      <c r="A570" s="4" t="str">
        <f>GUIDE[[#This Row],[SITE]]&amp;"-"&amp;GUIDE[[#This Row],[TVGID]]</f>
        <v>tivie.id-HBOFamilyAsia.sg@SD</v>
      </c>
      <c r="B570" t="s">
        <v>917</v>
      </c>
      <c r="C570" s="3" t="s">
        <v>290</v>
      </c>
      <c r="D570" t="s">
        <v>939</v>
      </c>
      <c r="E570" t="s">
        <v>602</v>
      </c>
      <c r="F570" t="s">
        <v>69</v>
      </c>
    </row>
    <row r="571" spans="1:6" x14ac:dyDescent="0.55000000000000004">
      <c r="A571" s="4" t="str">
        <f>GUIDE[[#This Row],[SITE]]&amp;"-"&amp;GUIDE[[#This Row],[TVGID]]</f>
        <v>tivie.id-HBOHitsAsia.sg@SD</v>
      </c>
      <c r="B571" t="s">
        <v>917</v>
      </c>
      <c r="C571" s="3" t="s">
        <v>289</v>
      </c>
      <c r="D571" t="s">
        <v>939</v>
      </c>
      <c r="E571" t="s">
        <v>601</v>
      </c>
      <c r="F571" t="s">
        <v>68</v>
      </c>
    </row>
    <row r="572" spans="1:6" x14ac:dyDescent="0.55000000000000004">
      <c r="A572" s="4" t="str">
        <f>GUIDE[[#This Row],[SITE]]&amp;"-"&amp;GUIDE[[#This Row],[TVGID]]</f>
        <v>tivie.id-HBOSignatureAsia.sg@SD</v>
      </c>
      <c r="B572" t="s">
        <v>917</v>
      </c>
      <c r="C572" s="3" t="s">
        <v>288</v>
      </c>
      <c r="D572" t="s">
        <v>939</v>
      </c>
      <c r="E572" t="s">
        <v>599</v>
      </c>
      <c r="F572" t="s">
        <v>67</v>
      </c>
    </row>
    <row r="573" spans="1:6" x14ac:dyDescent="0.55000000000000004">
      <c r="A573" s="4" t="str">
        <f>GUIDE[[#This Row],[SITE]]&amp;"-"&amp;GUIDE[[#This Row],[TVGID]]</f>
        <v>tivie.id-HITS.sg@SD</v>
      </c>
      <c r="B573" t="s">
        <v>917</v>
      </c>
      <c r="C573" s="3" t="s">
        <v>111</v>
      </c>
      <c r="D573" t="s">
        <v>939</v>
      </c>
      <c r="E573" t="s">
        <v>580</v>
      </c>
      <c r="F573" t="s">
        <v>760</v>
      </c>
    </row>
    <row r="574" spans="1:6" x14ac:dyDescent="0.55000000000000004">
      <c r="A574" s="4" t="str">
        <f>GUIDE[[#This Row],[SITE]]&amp;"-"&amp;GUIDE[[#This Row],[TVGID]]</f>
        <v>tivie.id-HITSMovies.sg@SD</v>
      </c>
      <c r="B574" t="s">
        <v>917</v>
      </c>
      <c r="C574" s="3" t="s">
        <v>887</v>
      </c>
      <c r="D574" t="s">
        <v>939</v>
      </c>
      <c r="E574" t="s">
        <v>603</v>
      </c>
      <c r="F574" t="s">
        <v>1673</v>
      </c>
    </row>
    <row r="575" spans="1:6" x14ac:dyDescent="0.55000000000000004">
      <c r="A575" s="4" t="str">
        <f>GUIDE[[#This Row],[SITE]]&amp;"-"&amp;GUIDE[[#This Row],[TVGID]]</f>
        <v>tivie.id-HITSNOW.sg@SD</v>
      </c>
      <c r="B575" t="s">
        <v>917</v>
      </c>
      <c r="C575" s="3" t="s">
        <v>113</v>
      </c>
      <c r="D575" t="s">
        <v>939</v>
      </c>
      <c r="E575" t="s">
        <v>642</v>
      </c>
      <c r="F575" t="s">
        <v>114</v>
      </c>
    </row>
    <row r="576" spans="1:6" x14ac:dyDescent="0.55000000000000004">
      <c r="A576" s="4" t="str">
        <f>GUIDE[[#This Row],[SITE]]&amp;"-"&amp;GUIDE[[#This Row],[TVGID]]</f>
        <v>tivie.id-IMC.id@SD</v>
      </c>
      <c r="B576" t="s">
        <v>917</v>
      </c>
      <c r="C576" s="3" t="s">
        <v>213</v>
      </c>
      <c r="D576" t="s">
        <v>939</v>
      </c>
      <c r="E576" t="s">
        <v>612</v>
      </c>
      <c r="F576" t="s">
        <v>74</v>
      </c>
    </row>
    <row r="577" spans="1:6" x14ac:dyDescent="0.55000000000000004">
      <c r="A577" s="4" t="str">
        <f>GUIDE[[#This Row],[SITE]]&amp;"-"&amp;GUIDE[[#This Row],[TVGID]]</f>
        <v>tivie.id-Indosiar.id@SD</v>
      </c>
      <c r="B577" t="s">
        <v>917</v>
      </c>
      <c r="C577" s="3" t="s">
        <v>182</v>
      </c>
      <c r="D577" t="s">
        <v>939</v>
      </c>
      <c r="E577" t="s">
        <v>532</v>
      </c>
      <c r="F577" t="s">
        <v>84</v>
      </c>
    </row>
    <row r="578" spans="1:6" x14ac:dyDescent="0.55000000000000004">
      <c r="A578" s="4" t="str">
        <f>GUIDE[[#This Row],[SITE]]&amp;"-"&amp;GUIDE[[#This Row],[TVGID]]</f>
        <v>tivie.id-iNews.id@SD</v>
      </c>
      <c r="B578" t="s">
        <v>917</v>
      </c>
      <c r="C578" s="3" t="s">
        <v>183</v>
      </c>
      <c r="D578" t="s">
        <v>939</v>
      </c>
      <c r="E578" t="s">
        <v>916</v>
      </c>
      <c r="F578" t="s">
        <v>90</v>
      </c>
    </row>
    <row r="579" spans="1:6" x14ac:dyDescent="0.55000000000000004">
      <c r="A579" s="4" t="str">
        <f>GUIDE[[#This Row],[SITE]]&amp;"-"&amp;GUIDE[[#This Row],[TVGID]]</f>
        <v>tivie.id-KIX.hk@SD</v>
      </c>
      <c r="B579" t="s">
        <v>917</v>
      </c>
      <c r="C579" s="3" t="s">
        <v>116</v>
      </c>
      <c r="D579" t="s">
        <v>939</v>
      </c>
      <c r="E579" t="s">
        <v>579</v>
      </c>
      <c r="F579" t="s">
        <v>780</v>
      </c>
    </row>
    <row r="580" spans="1:6" x14ac:dyDescent="0.55000000000000004">
      <c r="A580" s="4" t="str">
        <f>GUIDE[[#This Row],[SITE]]&amp;"-"&amp;GUIDE[[#This Row],[TVGID]]</f>
        <v>tivie.id-KompasTV.id@SD</v>
      </c>
      <c r="B580" t="s">
        <v>917</v>
      </c>
      <c r="C580" s="3" t="s">
        <v>189</v>
      </c>
      <c r="D580" t="s">
        <v>939</v>
      </c>
      <c r="E580" t="s">
        <v>534</v>
      </c>
      <c r="F580" t="s">
        <v>85</v>
      </c>
    </row>
    <row r="581" spans="1:6" x14ac:dyDescent="0.55000000000000004">
      <c r="A581" s="4" t="str">
        <f>GUIDE[[#This Row],[SITE]]&amp;"-"&amp;GUIDE[[#This Row],[TVGID]]</f>
        <v>tivie.id-KPlus.sg@SD</v>
      </c>
      <c r="B581" t="s">
        <v>917</v>
      </c>
      <c r="C581" s="3" t="s">
        <v>118</v>
      </c>
      <c r="D581" t="s">
        <v>939</v>
      </c>
      <c r="E581" t="s">
        <v>588</v>
      </c>
      <c r="F581" t="s">
        <v>1674</v>
      </c>
    </row>
    <row r="582" spans="1:6" x14ac:dyDescent="0.55000000000000004">
      <c r="A582" s="4" t="str">
        <f>GUIDE[[#This Row],[SITE]]&amp;"-"&amp;GUIDE[[#This Row],[TVGID]]</f>
        <v>tivie.id-LifetimeAsia.us@SD</v>
      </c>
      <c r="B582" t="s">
        <v>917</v>
      </c>
      <c r="C582" s="3" t="s">
        <v>120</v>
      </c>
      <c r="D582" t="s">
        <v>939</v>
      </c>
      <c r="E582" t="s">
        <v>578</v>
      </c>
      <c r="F582" t="s">
        <v>58</v>
      </c>
    </row>
    <row r="583" spans="1:6" x14ac:dyDescent="0.55000000000000004">
      <c r="A583" s="4" t="str">
        <f>GUIDE[[#This Row],[SITE]]&amp;"-"&amp;GUIDE[[#This Row],[TVGID]]</f>
        <v>tivie.id-MDTV.id@HD</v>
      </c>
      <c r="B583" t="s">
        <v>917</v>
      </c>
      <c r="C583" s="3" t="s">
        <v>796</v>
      </c>
      <c r="D583" t="s">
        <v>939</v>
      </c>
      <c r="E583" t="s">
        <v>924</v>
      </c>
      <c r="F583" t="s">
        <v>366</v>
      </c>
    </row>
    <row r="584" spans="1:6" x14ac:dyDescent="0.55000000000000004">
      <c r="A584" s="4" t="str">
        <f>GUIDE[[#This Row],[SITE]]&amp;"-"&amp;GUIDE[[#This Row],[TVGID]]</f>
        <v>tivie.id-MentariTV.id@SD</v>
      </c>
      <c r="B584" t="s">
        <v>917</v>
      </c>
      <c r="C584" s="3" t="s">
        <v>151</v>
      </c>
      <c r="D584" t="s">
        <v>939</v>
      </c>
      <c r="E584" t="s">
        <v>568</v>
      </c>
      <c r="F584" t="s">
        <v>88</v>
      </c>
    </row>
    <row r="585" spans="1:6" x14ac:dyDescent="0.55000000000000004">
      <c r="A585" s="4" t="str">
        <f>GUIDE[[#This Row],[SITE]]&amp;"-"&amp;GUIDE[[#This Row],[TVGID]]</f>
        <v>tivie.id-MetroTV.id@SD</v>
      </c>
      <c r="B585" t="s">
        <v>917</v>
      </c>
      <c r="C585" s="3" t="s">
        <v>243</v>
      </c>
      <c r="D585" t="s">
        <v>939</v>
      </c>
      <c r="E585" t="s">
        <v>523</v>
      </c>
      <c r="F585" t="s">
        <v>34</v>
      </c>
    </row>
    <row r="586" spans="1:6" x14ac:dyDescent="0.55000000000000004">
      <c r="A586" s="4" t="str">
        <f>GUIDE[[#This Row],[SITE]]&amp;"-"&amp;GUIDE[[#This Row],[TVGID]]</f>
        <v>tivie.id-MNCTV.id@SD</v>
      </c>
      <c r="B586" t="s">
        <v>917</v>
      </c>
      <c r="C586" s="3" t="s">
        <v>507</v>
      </c>
      <c r="D586" t="s">
        <v>939</v>
      </c>
      <c r="E586" t="s">
        <v>649</v>
      </c>
      <c r="F586" t="s">
        <v>800</v>
      </c>
    </row>
    <row r="587" spans="1:6" x14ac:dyDescent="0.55000000000000004">
      <c r="A587" s="4" t="str">
        <f>GUIDE[[#This Row],[SITE]]&amp;"-"&amp;GUIDE[[#This Row],[TVGID]]</f>
        <v>tivie.id-Moji.id@SD</v>
      </c>
      <c r="B587" t="s">
        <v>917</v>
      </c>
      <c r="C587" s="3" t="s">
        <v>802</v>
      </c>
      <c r="D587" t="s">
        <v>939</v>
      </c>
      <c r="E587" t="s">
        <v>545</v>
      </c>
      <c r="F587" t="s">
        <v>803</v>
      </c>
    </row>
    <row r="588" spans="1:6" x14ac:dyDescent="0.55000000000000004">
      <c r="A588" s="4" t="str">
        <f>GUIDE[[#This Row],[SITE]]&amp;"-"&amp;GUIDE[[#This Row],[TVGID]]</f>
        <v>tivie.id-NusantaraTV.id@SD</v>
      </c>
      <c r="B588" t="s">
        <v>917</v>
      </c>
      <c r="C588" s="3" t="s">
        <v>192</v>
      </c>
      <c r="D588" t="s">
        <v>939</v>
      </c>
      <c r="E588" t="s">
        <v>546</v>
      </c>
      <c r="F588" t="s">
        <v>43</v>
      </c>
    </row>
    <row r="589" spans="1:6" x14ac:dyDescent="0.55000000000000004">
      <c r="A589" s="4" t="str">
        <f>GUIDE[[#This Row],[SITE]]&amp;"-"&amp;GUIDE[[#This Row],[TVGID]]</f>
        <v>tivie.id-ONE.sg@SD</v>
      </c>
      <c r="B589" t="s">
        <v>917</v>
      </c>
      <c r="C589" s="3" t="s">
        <v>822</v>
      </c>
      <c r="D589" t="s">
        <v>939</v>
      </c>
      <c r="E589" t="s">
        <v>595</v>
      </c>
      <c r="F589" t="s">
        <v>823</v>
      </c>
    </row>
    <row r="590" spans="1:6" x14ac:dyDescent="0.55000000000000004">
      <c r="A590" s="4" t="str">
        <f>GUIDE[[#This Row],[SITE]]&amp;"-"&amp;GUIDE[[#This Row],[TVGID]]</f>
        <v>tivie.id-RajawaliTV.id@SD</v>
      </c>
      <c r="B590" t="s">
        <v>917</v>
      </c>
      <c r="C590" s="3" t="s">
        <v>193</v>
      </c>
      <c r="D590" t="s">
        <v>939</v>
      </c>
      <c r="E590" t="s">
        <v>538</v>
      </c>
      <c r="F590" t="s">
        <v>834</v>
      </c>
    </row>
    <row r="591" spans="1:6" x14ac:dyDescent="0.55000000000000004">
      <c r="A591" s="4" t="str">
        <f>GUIDE[[#This Row],[SITE]]&amp;"-"&amp;GUIDE[[#This Row],[TVGID]]</f>
        <v>tivie.id-RCTI.id@SD</v>
      </c>
      <c r="B591" t="s">
        <v>917</v>
      </c>
      <c r="C591" s="3" t="s">
        <v>510</v>
      </c>
      <c r="D591" t="s">
        <v>939</v>
      </c>
      <c r="E591" t="s">
        <v>639</v>
      </c>
      <c r="F591" t="s">
        <v>511</v>
      </c>
    </row>
    <row r="592" spans="1:6" x14ac:dyDescent="0.55000000000000004">
      <c r="A592" s="4" t="str">
        <f>GUIDE[[#This Row],[SITE]]&amp;"-"&amp;GUIDE[[#This Row],[TVGID]]</f>
        <v>tivie.id-ROCKAction.sg@SD</v>
      </c>
      <c r="B592" t="s">
        <v>917</v>
      </c>
      <c r="C592" s="3" t="s">
        <v>896</v>
      </c>
      <c r="D592" t="s">
        <v>939</v>
      </c>
      <c r="E592" t="s">
        <v>928</v>
      </c>
      <c r="F592" t="s">
        <v>56</v>
      </c>
    </row>
    <row r="593" spans="1:6" x14ac:dyDescent="0.55000000000000004">
      <c r="A593" s="4" t="str">
        <f>GUIDE[[#This Row],[SITE]]&amp;"-"&amp;GUIDE[[#This Row],[TVGID]]</f>
        <v>tivie.id-ROCKEntertainment.sg@SD</v>
      </c>
      <c r="B593" t="s">
        <v>917</v>
      </c>
      <c r="C593" s="3" t="s">
        <v>897</v>
      </c>
      <c r="D593" t="s">
        <v>939</v>
      </c>
      <c r="E593" t="s">
        <v>583</v>
      </c>
      <c r="F593" t="s">
        <v>60</v>
      </c>
    </row>
    <row r="594" spans="1:6" x14ac:dyDescent="0.55000000000000004">
      <c r="A594" s="4" t="str">
        <f>GUIDE[[#This Row],[SITE]]&amp;"-"&amp;GUIDE[[#This Row],[TVGID]]</f>
        <v>tivie.id-SCTV.id@SD</v>
      </c>
      <c r="B594" t="s">
        <v>917</v>
      </c>
      <c r="C594" s="3" t="s">
        <v>196</v>
      </c>
      <c r="D594" t="s">
        <v>939</v>
      </c>
      <c r="E594" t="s">
        <v>530</v>
      </c>
      <c r="F594" t="s">
        <v>38</v>
      </c>
    </row>
    <row r="595" spans="1:6" x14ac:dyDescent="0.55000000000000004">
      <c r="A595" s="4" t="str">
        <f>GUIDE[[#This Row],[SITE]]&amp;"-"&amp;GUIDE[[#This Row],[TVGID]]</f>
        <v>tivie.id-SindoNewsTV.id@SD</v>
      </c>
      <c r="B595" t="s">
        <v>917</v>
      </c>
      <c r="C595" s="3" t="s">
        <v>899</v>
      </c>
      <c r="D595" t="s">
        <v>939</v>
      </c>
      <c r="E595" t="s">
        <v>549</v>
      </c>
      <c r="F595" t="s">
        <v>1675</v>
      </c>
    </row>
    <row r="596" spans="1:6" x14ac:dyDescent="0.55000000000000004">
      <c r="A596" s="4" t="str">
        <f>GUIDE[[#This Row],[SITE]]&amp;"-"&amp;GUIDE[[#This Row],[TVGID]]</f>
        <v>tivie.id-SinPoTV.id@HD</v>
      </c>
      <c r="B596" t="s">
        <v>917</v>
      </c>
      <c r="C596" s="3" t="s">
        <v>514</v>
      </c>
      <c r="D596" t="s">
        <v>939</v>
      </c>
      <c r="E596" t="s">
        <v>925</v>
      </c>
      <c r="F596" t="s">
        <v>1676</v>
      </c>
    </row>
    <row r="597" spans="1:6" x14ac:dyDescent="0.55000000000000004">
      <c r="A597" s="4" t="str">
        <f>GUIDE[[#This Row],[SITE]]&amp;"-"&amp;GUIDE[[#This Row],[TVGID]]</f>
        <v>tivie.id-SPOTV.id@SD</v>
      </c>
      <c r="B597" t="s">
        <v>917</v>
      </c>
      <c r="C597" s="3" t="s">
        <v>843</v>
      </c>
      <c r="D597" t="s">
        <v>939</v>
      </c>
      <c r="E597" t="s">
        <v>614</v>
      </c>
      <c r="F597" t="s">
        <v>1678</v>
      </c>
    </row>
    <row r="598" spans="1:6" x14ac:dyDescent="0.55000000000000004">
      <c r="A598" s="4" t="str">
        <f>GUIDE[[#This Row],[SITE]]&amp;"-"&amp;GUIDE[[#This Row],[TVGID]]</f>
        <v>tivie.id-SPOTV2.id@SD</v>
      </c>
      <c r="B598" t="s">
        <v>917</v>
      </c>
      <c r="C598" s="3" t="s">
        <v>900</v>
      </c>
      <c r="D598" t="s">
        <v>939</v>
      </c>
      <c r="E598" t="s">
        <v>615</v>
      </c>
      <c r="F598" t="s">
        <v>1677</v>
      </c>
    </row>
    <row r="599" spans="1:6" x14ac:dyDescent="0.55000000000000004">
      <c r="A599" s="4" t="str">
        <f>GUIDE[[#This Row],[SITE]]&amp;"-"&amp;GUIDE[[#This Row],[TVGID]]</f>
        <v>tivie.id-StudioUniversalLatinAmerica.us@Brazil</v>
      </c>
      <c r="B599" t="s">
        <v>917</v>
      </c>
      <c r="C599" s="3" t="s">
        <v>319</v>
      </c>
      <c r="D599" t="s">
        <v>939</v>
      </c>
      <c r="E599" t="s">
        <v>377</v>
      </c>
      <c r="F599" t="s">
        <v>320</v>
      </c>
    </row>
    <row r="600" spans="1:6" x14ac:dyDescent="0.55000000000000004">
      <c r="A600" s="4" t="str">
        <f>GUIDE[[#This Row],[SITE]]&amp;"-"&amp;GUIDE[[#This Row],[TVGID]]</f>
        <v>tivie.id-Thrill.hk@SD</v>
      </c>
      <c r="B600" t="s">
        <v>917</v>
      </c>
      <c r="C600" s="3" t="s">
        <v>219</v>
      </c>
      <c r="D600" t="s">
        <v>939</v>
      </c>
      <c r="E600" t="s">
        <v>604</v>
      </c>
      <c r="F600" t="s">
        <v>70</v>
      </c>
    </row>
    <row r="601" spans="1:6" x14ac:dyDescent="0.55000000000000004">
      <c r="A601" s="4" t="str">
        <f>GUIDE[[#This Row],[SITE]]&amp;"-"&amp;GUIDE[[#This Row],[TVGID]]</f>
        <v>tivie.id-Trans7.id@SD</v>
      </c>
      <c r="B601" t="s">
        <v>917</v>
      </c>
      <c r="C601" s="3" t="s">
        <v>199</v>
      </c>
      <c r="D601" t="s">
        <v>939</v>
      </c>
      <c r="E601" t="s">
        <v>528</v>
      </c>
      <c r="F601" t="s">
        <v>200</v>
      </c>
    </row>
    <row r="602" spans="1:6" x14ac:dyDescent="0.55000000000000004">
      <c r="A602" s="4" t="str">
        <f>GUIDE[[#This Row],[SITE]]&amp;"-"&amp;GUIDE[[#This Row],[TVGID]]</f>
        <v>tivie.id-TransTV.id@SD</v>
      </c>
      <c r="B602" t="s">
        <v>917</v>
      </c>
      <c r="C602" s="3" t="s">
        <v>201</v>
      </c>
      <c r="D602" t="s">
        <v>939</v>
      </c>
      <c r="E602" t="s">
        <v>527</v>
      </c>
      <c r="F602" t="s">
        <v>853</v>
      </c>
    </row>
    <row r="603" spans="1:6" x14ac:dyDescent="0.55000000000000004">
      <c r="A603" s="4" t="str">
        <f>GUIDE[[#This Row],[SITE]]&amp;"-"&amp;GUIDE[[#This Row],[TVGID]]</f>
        <v>tivie.id-tvNAsia.hk@SD</v>
      </c>
      <c r="B603" t="s">
        <v>917</v>
      </c>
      <c r="C603" s="3" t="s">
        <v>134</v>
      </c>
      <c r="D603" t="s">
        <v>939</v>
      </c>
      <c r="E603" t="s">
        <v>584</v>
      </c>
      <c r="F603" t="s">
        <v>865</v>
      </c>
    </row>
    <row r="604" spans="1:6" x14ac:dyDescent="0.55000000000000004">
      <c r="A604" s="4" t="str">
        <f>GUIDE[[#This Row],[SITE]]&amp;"-"&amp;GUIDE[[#This Row],[TVGID]]</f>
        <v>tivie.id-tvNMoviesAsia.hk@SD</v>
      </c>
      <c r="B604" t="s">
        <v>917</v>
      </c>
      <c r="C604" s="3" t="s">
        <v>220</v>
      </c>
      <c r="D604" t="s">
        <v>939</v>
      </c>
      <c r="E604" t="s">
        <v>606</v>
      </c>
      <c r="F604" t="s">
        <v>867</v>
      </c>
    </row>
    <row r="605" spans="1:6" x14ac:dyDescent="0.55000000000000004">
      <c r="A605" s="4" t="str">
        <f>GUIDE[[#This Row],[SITE]]&amp;"-"&amp;GUIDE[[#This Row],[TVGID]]</f>
        <v>tivie.id-tvOne.id@SD</v>
      </c>
      <c r="B605" t="s">
        <v>917</v>
      </c>
      <c r="C605" s="3" t="s">
        <v>248</v>
      </c>
      <c r="D605" t="s">
        <v>939</v>
      </c>
      <c r="E605" t="s">
        <v>526</v>
      </c>
      <c r="F605" t="s">
        <v>1679</v>
      </c>
    </row>
    <row r="606" spans="1:6" x14ac:dyDescent="0.55000000000000004">
      <c r="A606" s="4" t="str">
        <f>GUIDE[[#This Row],[SITE]]&amp;"-"&amp;GUIDE[[#This Row],[TVGID]]</f>
        <v>tivie.id-TVRI.id@SD</v>
      </c>
      <c r="B606" t="s">
        <v>917</v>
      </c>
      <c r="C606" s="3" t="s">
        <v>203</v>
      </c>
      <c r="D606" t="s">
        <v>939</v>
      </c>
      <c r="E606" t="s">
        <v>522</v>
      </c>
      <c r="F606" t="s">
        <v>83</v>
      </c>
    </row>
    <row r="607" spans="1:6" x14ac:dyDescent="0.55000000000000004">
      <c r="A607" s="4" t="str">
        <f>GUIDE[[#This Row],[SITE]]&amp;"-"&amp;GUIDE[[#This Row],[TVGID]]</f>
        <v>tivie.id-VTV.id@SD</v>
      </c>
      <c r="B607" t="s">
        <v>917</v>
      </c>
      <c r="C607" s="3" t="s">
        <v>1680</v>
      </c>
      <c r="D607" t="s">
        <v>939</v>
      </c>
      <c r="E607" t="s">
        <v>1681</v>
      </c>
      <c r="F607" t="s">
        <v>1682</v>
      </c>
    </row>
    <row r="608" spans="1:6" x14ac:dyDescent="0.55000000000000004">
      <c r="A608" s="4" t="str">
        <f>GUIDE[[#This Row],[SITE]]&amp;"-"&amp;GUIDE[[#This Row],[TVGID]]</f>
        <v>tivie.id-WarnerTVAsia.us@SD</v>
      </c>
      <c r="B608" t="s">
        <v>917</v>
      </c>
      <c r="C608" s="3" t="s">
        <v>136</v>
      </c>
      <c r="D608" t="s">
        <v>939</v>
      </c>
      <c r="E608" t="s">
        <v>581</v>
      </c>
      <c r="F608" t="s">
        <v>1683</v>
      </c>
    </row>
    <row r="609" spans="1:6" x14ac:dyDescent="0.55000000000000004">
      <c r="A609" s="4" t="str">
        <f>GUIDE[[#This Row],[SITE]]&amp;"-"&amp;GUIDE[[#This Row],[TVGID]]</f>
        <v>tivie.id-ZeeBioskop.id@SD</v>
      </c>
      <c r="B609" t="s">
        <v>917</v>
      </c>
      <c r="C609" s="3" t="s">
        <v>905</v>
      </c>
      <c r="D609" t="s">
        <v>939</v>
      </c>
      <c r="E609" t="s">
        <v>607</v>
      </c>
      <c r="F609" t="s">
        <v>874</v>
      </c>
    </row>
    <row r="610" spans="1:6" x14ac:dyDescent="0.55000000000000004">
      <c r="A610" s="4" t="str">
        <f>GUIDE[[#This Row],[SITE]]&amp;"-"&amp;GUIDE[[#This Row],[TVGID]]</f>
        <v>vidio.com-ABCAustralia.au@SD</v>
      </c>
      <c r="B610" t="s">
        <v>918</v>
      </c>
      <c r="C610" s="3" t="s">
        <v>1684</v>
      </c>
      <c r="D610" t="s">
        <v>939</v>
      </c>
      <c r="E610" t="s">
        <v>590</v>
      </c>
      <c r="F610" t="s">
        <v>96</v>
      </c>
    </row>
    <row r="611" spans="1:6" x14ac:dyDescent="0.55000000000000004">
      <c r="A611" s="4" t="str">
        <f>GUIDE[[#This Row],[SITE]]&amp;"-"&amp;GUIDE[[#This Row],[TVGID]]</f>
        <v>vidio.com-AfricanewsEnglish.fr@SD</v>
      </c>
      <c r="B611" t="s">
        <v>918</v>
      </c>
      <c r="C611" s="3" t="s">
        <v>1685</v>
      </c>
      <c r="D611" t="s">
        <v>939</v>
      </c>
      <c r="E611" t="s">
        <v>1686</v>
      </c>
      <c r="F611" t="s">
        <v>1687</v>
      </c>
    </row>
    <row r="612" spans="1:6" x14ac:dyDescent="0.55000000000000004">
      <c r="A612" s="4" t="str">
        <f>GUIDE[[#This Row],[SITE]]&amp;"-"&amp;GUIDE[[#This Row],[TVGID]]</f>
        <v>vidio.com-AjwaTV.id@SD</v>
      </c>
      <c r="B612" t="s">
        <v>918</v>
      </c>
      <c r="C612" s="3" t="s">
        <v>1688</v>
      </c>
      <c r="D612" t="s">
        <v>939</v>
      </c>
      <c r="E612" t="s">
        <v>1689</v>
      </c>
      <c r="F612" t="s">
        <v>1690</v>
      </c>
    </row>
    <row r="613" spans="1:6" x14ac:dyDescent="0.55000000000000004">
      <c r="A613" s="4" t="str">
        <f>GUIDE[[#This Row],[SITE]]&amp;"-"&amp;GUIDE[[#This Row],[TVGID]]</f>
        <v>vidio.com-AlJazeera.qa@Arabic</v>
      </c>
      <c r="B613" t="s">
        <v>918</v>
      </c>
      <c r="C613" s="3" t="s">
        <v>1691</v>
      </c>
      <c r="D613" t="s">
        <v>939</v>
      </c>
      <c r="E613" t="s">
        <v>641</v>
      </c>
      <c r="F613" t="s">
        <v>231</v>
      </c>
    </row>
    <row r="614" spans="1:6" x14ac:dyDescent="0.55000000000000004">
      <c r="A614" s="4" t="str">
        <f>GUIDE[[#This Row],[SITE]]&amp;"-"&amp;GUIDE[[#This Row],[TVGID]]</f>
        <v>vidio.com-ANTV.id@SD</v>
      </c>
      <c r="B614" t="s">
        <v>918</v>
      </c>
      <c r="C614" s="3" t="s">
        <v>1665</v>
      </c>
      <c r="D614" t="s">
        <v>939</v>
      </c>
      <c r="E614" t="s">
        <v>531</v>
      </c>
      <c r="F614" t="s">
        <v>89</v>
      </c>
    </row>
    <row r="615" spans="1:6" x14ac:dyDescent="0.55000000000000004">
      <c r="A615" s="4" t="str">
        <f>GUIDE[[#This Row],[SITE]]&amp;"-"&amp;GUIDE[[#This Row],[TVGID]]</f>
        <v>vidio.com-ArirangTV.kr@SD</v>
      </c>
      <c r="B615" t="s">
        <v>918</v>
      </c>
      <c r="C615" s="3" t="s">
        <v>1692</v>
      </c>
      <c r="D615" t="s">
        <v>939</v>
      </c>
      <c r="E615" t="s">
        <v>591</v>
      </c>
      <c r="F615" t="s">
        <v>94</v>
      </c>
    </row>
    <row r="616" spans="1:6" x14ac:dyDescent="0.55000000000000004">
      <c r="A616" s="4" t="str">
        <f>GUIDE[[#This Row],[SITE]]&amp;"-"&amp;GUIDE[[#This Row],[TVGID]]</f>
        <v>vidio.com-beINSports1.qa@Indonesia</v>
      </c>
      <c r="B616" t="s">
        <v>918</v>
      </c>
      <c r="C616" s="3" t="s">
        <v>1693</v>
      </c>
      <c r="D616" t="s">
        <v>939</v>
      </c>
      <c r="E616" t="s">
        <v>1231</v>
      </c>
      <c r="F616" t="s">
        <v>1694</v>
      </c>
    </row>
    <row r="617" spans="1:6" x14ac:dyDescent="0.55000000000000004">
      <c r="A617" s="4" t="str">
        <f>GUIDE[[#This Row],[SITE]]&amp;"-"&amp;GUIDE[[#This Row],[TVGID]]</f>
        <v>vidio.com-beINSports2.qa@MENA</v>
      </c>
      <c r="B617" t="s">
        <v>918</v>
      </c>
      <c r="C617" s="3" t="s">
        <v>1695</v>
      </c>
      <c r="D617" t="s">
        <v>939</v>
      </c>
      <c r="E617" t="s">
        <v>1234</v>
      </c>
      <c r="F617" t="s">
        <v>1696</v>
      </c>
    </row>
    <row r="618" spans="1:6" x14ac:dyDescent="0.55000000000000004">
      <c r="A618" s="4" t="str">
        <f>GUIDE[[#This Row],[SITE]]&amp;"-"&amp;GUIDE[[#This Row],[TVGID]]</f>
        <v>vidio.com-beINSports3.qa@Indonesia</v>
      </c>
      <c r="B618" t="s">
        <v>918</v>
      </c>
      <c r="C618" s="3" t="s">
        <v>1697</v>
      </c>
      <c r="D618" t="s">
        <v>939</v>
      </c>
      <c r="E618" t="s">
        <v>1237</v>
      </c>
      <c r="F618" t="s">
        <v>1698</v>
      </c>
    </row>
    <row r="619" spans="1:6" x14ac:dyDescent="0.55000000000000004">
      <c r="A619" s="4" t="str">
        <f>GUIDE[[#This Row],[SITE]]&amp;"-"&amp;GUIDE[[#This Row],[TVGID]]</f>
        <v>vidio.com-BeritaSatu.id@SD</v>
      </c>
      <c r="B619" t="s">
        <v>918</v>
      </c>
      <c r="C619" s="3" t="s">
        <v>1699</v>
      </c>
      <c r="D619" t="s">
        <v>939</v>
      </c>
      <c r="E619" t="s">
        <v>537</v>
      </c>
      <c r="F619" t="s">
        <v>695</v>
      </c>
    </row>
    <row r="620" spans="1:6" x14ac:dyDescent="0.55000000000000004">
      <c r="A620" s="4" t="str">
        <f>GUIDE[[#This Row],[SITE]]&amp;"-"&amp;GUIDE[[#This Row],[TVGID]]</f>
        <v>vidio.com-BTV.id@SD</v>
      </c>
      <c r="B620" t="s">
        <v>918</v>
      </c>
      <c r="C620" s="3" t="s">
        <v>1700</v>
      </c>
      <c r="D620" t="s">
        <v>939</v>
      </c>
      <c r="E620" t="s">
        <v>535</v>
      </c>
      <c r="F620" t="s">
        <v>86</v>
      </c>
    </row>
    <row r="621" spans="1:6" x14ac:dyDescent="0.55000000000000004">
      <c r="A621" s="4" t="str">
        <f>GUIDE[[#This Row],[SITE]]&amp;"-"&amp;GUIDE[[#This Row],[TVGID]]</f>
        <v>vidio.com-ChampionsFight.id@HD</v>
      </c>
      <c r="B621" t="s">
        <v>918</v>
      </c>
      <c r="C621" s="3" t="s">
        <v>1701</v>
      </c>
      <c r="D621" t="s">
        <v>939</v>
      </c>
      <c r="E621" t="s">
        <v>1702</v>
      </c>
      <c r="F621" t="s">
        <v>1703</v>
      </c>
    </row>
    <row r="622" spans="1:6" x14ac:dyDescent="0.55000000000000004">
      <c r="A622" s="4" t="str">
        <f>GUIDE[[#This Row],[SITE]]&amp;"-"&amp;GUIDE[[#This Row],[TVGID]]</f>
        <v>vidio.com-ChampionsGolf1.id@HD</v>
      </c>
      <c r="B622" t="s">
        <v>918</v>
      </c>
      <c r="C622" s="3" t="s">
        <v>1704</v>
      </c>
      <c r="D622" t="s">
        <v>939</v>
      </c>
      <c r="E622" t="s">
        <v>926</v>
      </c>
      <c r="F622" t="s">
        <v>652</v>
      </c>
    </row>
    <row r="623" spans="1:6" x14ac:dyDescent="0.55000000000000004">
      <c r="A623" s="4" t="str">
        <f>GUIDE[[#This Row],[SITE]]&amp;"-"&amp;GUIDE[[#This Row],[TVGID]]</f>
        <v>vidio.com-ChampionsGolf2.id@HD</v>
      </c>
      <c r="B623" t="s">
        <v>918</v>
      </c>
      <c r="C623" s="3" t="s">
        <v>1705</v>
      </c>
      <c r="D623" t="s">
        <v>939</v>
      </c>
      <c r="E623" t="s">
        <v>927</v>
      </c>
      <c r="F623" t="s">
        <v>653</v>
      </c>
    </row>
    <row r="624" spans="1:6" x14ac:dyDescent="0.55000000000000004">
      <c r="A624" s="4" t="str">
        <f>GUIDE[[#This Row],[SITE]]&amp;"-"&amp;GUIDE[[#This Row],[TVGID]]</f>
        <v>vidio.com-ChampionsTV1.id@SD</v>
      </c>
      <c r="B624" t="s">
        <v>918</v>
      </c>
      <c r="C624" s="3" t="s">
        <v>1706</v>
      </c>
      <c r="D624" t="s">
        <v>939</v>
      </c>
      <c r="E624" t="s">
        <v>617</v>
      </c>
      <c r="F624" t="s">
        <v>1707</v>
      </c>
    </row>
    <row r="625" spans="1:6" x14ac:dyDescent="0.55000000000000004">
      <c r="A625" s="4" t="str">
        <f>GUIDE[[#This Row],[SITE]]&amp;"-"&amp;GUIDE[[#This Row],[TVGID]]</f>
        <v>vidio.com-ChampionsTV2.id@SD</v>
      </c>
      <c r="B625" t="s">
        <v>918</v>
      </c>
      <c r="C625" s="3" t="s">
        <v>1708</v>
      </c>
      <c r="D625" t="s">
        <v>939</v>
      </c>
      <c r="E625" t="s">
        <v>618</v>
      </c>
      <c r="F625" t="s">
        <v>1709</v>
      </c>
    </row>
    <row r="626" spans="1:6" x14ac:dyDescent="0.55000000000000004">
      <c r="A626" s="4" t="str">
        <f>GUIDE[[#This Row],[SITE]]&amp;"-"&amp;GUIDE[[#This Row],[TVGID]]</f>
        <v>vidio.com-ChampionsTV3.id@SD</v>
      </c>
      <c r="B626" t="s">
        <v>918</v>
      </c>
      <c r="C626" s="3" t="s">
        <v>1710</v>
      </c>
      <c r="D626" t="s">
        <v>939</v>
      </c>
      <c r="E626" t="s">
        <v>1711</v>
      </c>
      <c r="F626" t="s">
        <v>1712</v>
      </c>
    </row>
    <row r="627" spans="1:6" x14ac:dyDescent="0.55000000000000004">
      <c r="A627" s="4" t="str">
        <f>GUIDE[[#This Row],[SITE]]&amp;"-"&amp;GUIDE[[#This Row],[TVGID]]</f>
        <v>vidio.com-ChampionsTV5.id@SD</v>
      </c>
      <c r="B627" t="s">
        <v>918</v>
      </c>
      <c r="C627" s="3" t="s">
        <v>1713</v>
      </c>
      <c r="D627" t="s">
        <v>939</v>
      </c>
      <c r="E627" t="s">
        <v>619</v>
      </c>
      <c r="F627" t="s">
        <v>1714</v>
      </c>
    </row>
    <row r="628" spans="1:6" x14ac:dyDescent="0.55000000000000004">
      <c r="A628" s="4" t="str">
        <f>GUIDE[[#This Row],[SITE]]&amp;"-"&amp;GUIDE[[#This Row],[TVGID]]</f>
        <v>vidio.com-ChampionsTV6.id@SD</v>
      </c>
      <c r="B628" t="s">
        <v>918</v>
      </c>
      <c r="C628" s="3" t="s">
        <v>1715</v>
      </c>
      <c r="D628" t="s">
        <v>939</v>
      </c>
      <c r="E628" t="s">
        <v>620</v>
      </c>
      <c r="F628" t="s">
        <v>1716</v>
      </c>
    </row>
    <row r="629" spans="1:6" x14ac:dyDescent="0.55000000000000004">
      <c r="A629" s="4" t="str">
        <f>GUIDE[[#This Row],[SITE]]&amp;"-"&amp;GUIDE[[#This Row],[TVGID]]</f>
        <v>vidio.com-ChampionsTVEPL.id@SD</v>
      </c>
      <c r="B629" t="s">
        <v>918</v>
      </c>
      <c r="C629" s="3" t="s">
        <v>1717</v>
      </c>
      <c r="D629" t="s">
        <v>939</v>
      </c>
      <c r="E629" t="s">
        <v>1718</v>
      </c>
      <c r="F629" t="s">
        <v>1719</v>
      </c>
    </row>
    <row r="630" spans="1:6" x14ac:dyDescent="0.55000000000000004">
      <c r="A630" s="4" t="str">
        <f>GUIDE[[#This Row],[SITE]]&amp;"-"&amp;GUIDE[[#This Row],[TVGID]]</f>
        <v>vidio.com-CitraDrama.id@SD</v>
      </c>
      <c r="B630" t="s">
        <v>918</v>
      </c>
      <c r="C630" s="3" t="s">
        <v>1720</v>
      </c>
      <c r="D630" t="s">
        <v>939</v>
      </c>
      <c r="E630" t="s">
        <v>593</v>
      </c>
      <c r="F630" t="s">
        <v>311</v>
      </c>
    </row>
    <row r="631" spans="1:6" x14ac:dyDescent="0.55000000000000004">
      <c r="A631" s="4" t="str">
        <f>GUIDE[[#This Row],[SITE]]&amp;"-"&amp;GUIDE[[#This Row],[TVGID]]</f>
        <v>vidio.com-CNA.sg@SD</v>
      </c>
      <c r="B631" t="s">
        <v>918</v>
      </c>
      <c r="C631" s="3" t="s">
        <v>1721</v>
      </c>
      <c r="D631" t="s">
        <v>939</v>
      </c>
      <c r="E631" t="s">
        <v>627</v>
      </c>
      <c r="F631" t="s">
        <v>719</v>
      </c>
    </row>
    <row r="632" spans="1:6" x14ac:dyDescent="0.55000000000000004">
      <c r="A632" s="4" t="str">
        <f>GUIDE[[#This Row],[SITE]]&amp;"-"&amp;GUIDE[[#This Row],[TVGID]]</f>
        <v>vidio.com-DAAITV.id@SD</v>
      </c>
      <c r="B632" t="s">
        <v>918</v>
      </c>
      <c r="C632" s="3" t="s">
        <v>1722</v>
      </c>
      <c r="D632" t="s">
        <v>939</v>
      </c>
      <c r="E632" t="s">
        <v>540</v>
      </c>
      <c r="F632" t="s">
        <v>729</v>
      </c>
    </row>
    <row r="633" spans="1:6" x14ac:dyDescent="0.55000000000000004">
      <c r="A633" s="4" t="str">
        <f>GUIDE[[#This Row],[SITE]]&amp;"-"&amp;GUIDE[[#This Row],[TVGID]]</f>
        <v>vidio.com-DaystarTV.us@SD</v>
      </c>
      <c r="B633" t="s">
        <v>918</v>
      </c>
      <c r="C633" s="3" t="s">
        <v>1723</v>
      </c>
      <c r="D633" t="s">
        <v>939</v>
      </c>
      <c r="E633" t="s">
        <v>962</v>
      </c>
      <c r="F633" t="s">
        <v>1724</v>
      </c>
    </row>
    <row r="634" spans="1:6" x14ac:dyDescent="0.55000000000000004">
      <c r="A634" s="4" t="str">
        <f>GUIDE[[#This Row],[SITE]]&amp;"-"&amp;GUIDE[[#This Row],[TVGID]]</f>
        <v>vidio.com-DMITV.id@SD</v>
      </c>
      <c r="B634" t="s">
        <v>918</v>
      </c>
      <c r="C634" s="3" t="s">
        <v>1725</v>
      </c>
      <c r="D634" t="s">
        <v>939</v>
      </c>
      <c r="E634" t="s">
        <v>923</v>
      </c>
      <c r="F634" t="s">
        <v>371</v>
      </c>
    </row>
    <row r="635" spans="1:6" x14ac:dyDescent="0.55000000000000004">
      <c r="A635" s="4" t="str">
        <f>GUIDE[[#This Row],[SITE]]&amp;"-"&amp;GUIDE[[#This Row],[TVGID]]</f>
        <v>vidio.com-DW.de@English</v>
      </c>
      <c r="B635" t="s">
        <v>918</v>
      </c>
      <c r="C635" s="3" t="s">
        <v>1726</v>
      </c>
      <c r="D635" t="s">
        <v>939</v>
      </c>
      <c r="E635" t="s">
        <v>376</v>
      </c>
      <c r="F635" t="s">
        <v>740</v>
      </c>
    </row>
    <row r="636" spans="1:6" x14ac:dyDescent="0.55000000000000004">
      <c r="A636" s="4" t="str">
        <f>GUIDE[[#This Row],[SITE]]&amp;"-"&amp;GUIDE[[#This Row],[TVGID]]</f>
        <v>vidio.com-ElshintaTV.id@SD</v>
      </c>
      <c r="B636" t="s">
        <v>918</v>
      </c>
      <c r="C636" s="3" t="s">
        <v>1727</v>
      </c>
      <c r="D636" t="s">
        <v>939</v>
      </c>
      <c r="E636" t="s">
        <v>1078</v>
      </c>
      <c r="F636" t="s">
        <v>1079</v>
      </c>
    </row>
    <row r="637" spans="1:6" x14ac:dyDescent="0.55000000000000004">
      <c r="A637" s="4" t="str">
        <f>GUIDE[[#This Row],[SITE]]&amp;"-"&amp;GUIDE[[#This Row],[TVGID]]</f>
        <v>vidio.com-EuronewsEnglish.fr@SD</v>
      </c>
      <c r="B637" t="s">
        <v>918</v>
      </c>
      <c r="C637" s="3" t="s">
        <v>1728</v>
      </c>
      <c r="D637" t="s">
        <v>939</v>
      </c>
      <c r="E637" t="s">
        <v>625</v>
      </c>
      <c r="F637" t="s">
        <v>77</v>
      </c>
    </row>
    <row r="638" spans="1:6" x14ac:dyDescent="0.55000000000000004">
      <c r="A638" s="4" t="str">
        <f>GUIDE[[#This Row],[SITE]]&amp;"-"&amp;GUIDE[[#This Row],[TVGID]]</f>
        <v>vidio.com-GarudaTV.id@SD</v>
      </c>
      <c r="B638" t="s">
        <v>918</v>
      </c>
      <c r="C638" s="3" t="s">
        <v>1729</v>
      </c>
      <c r="D638" t="s">
        <v>939</v>
      </c>
      <c r="E638" t="s">
        <v>533</v>
      </c>
      <c r="F638" t="s">
        <v>369</v>
      </c>
    </row>
    <row r="639" spans="1:6" x14ac:dyDescent="0.55000000000000004">
      <c r="A639" s="4" t="str">
        <f>GUIDE[[#This Row],[SITE]]&amp;"-"&amp;GUIDE[[#This Row],[TVGID]]</f>
        <v>vidio.com-GTV.id@SD</v>
      </c>
      <c r="B639" t="s">
        <v>918</v>
      </c>
      <c r="C639" s="3" t="s">
        <v>1730</v>
      </c>
      <c r="D639" t="s">
        <v>939</v>
      </c>
      <c r="E639" t="s">
        <v>640</v>
      </c>
      <c r="F639" t="s">
        <v>498</v>
      </c>
    </row>
    <row r="640" spans="1:6" x14ac:dyDescent="0.55000000000000004">
      <c r="A640" s="4" t="str">
        <f>GUIDE[[#This Row],[SITE]]&amp;"-"&amp;GUIDE[[#This Row],[TVGID]]</f>
        <v>vidio.com-HipHipHoree.id@SD</v>
      </c>
      <c r="B640" t="s">
        <v>918</v>
      </c>
      <c r="C640" s="3" t="s">
        <v>1731</v>
      </c>
      <c r="D640" t="s">
        <v>939</v>
      </c>
      <c r="E640" t="s">
        <v>1732</v>
      </c>
      <c r="F640" t="s">
        <v>1733</v>
      </c>
    </row>
    <row r="641" spans="1:6" x14ac:dyDescent="0.55000000000000004">
      <c r="A641" s="4" t="str">
        <f>GUIDE[[#This Row],[SITE]]&amp;"-"&amp;GUIDE[[#This Row],[TVGID]]</f>
        <v>vidio.com-Horee.id@SD</v>
      </c>
      <c r="B641" t="s">
        <v>918</v>
      </c>
      <c r="C641" s="3" t="s">
        <v>1734</v>
      </c>
      <c r="D641" t="s">
        <v>939</v>
      </c>
      <c r="E641" t="s">
        <v>567</v>
      </c>
      <c r="F641" t="s">
        <v>150</v>
      </c>
    </row>
    <row r="642" spans="1:6" x14ac:dyDescent="0.55000000000000004">
      <c r="A642" s="4" t="str">
        <f>GUIDE[[#This Row],[SITE]]&amp;"-"&amp;GUIDE[[#This Row],[TVGID]]</f>
        <v>vidio.com-Indosiar.id@SD</v>
      </c>
      <c r="B642" t="s">
        <v>918</v>
      </c>
      <c r="C642" s="3" t="s">
        <v>1254</v>
      </c>
      <c r="D642" t="s">
        <v>939</v>
      </c>
      <c r="E642" t="s">
        <v>532</v>
      </c>
      <c r="F642" t="s">
        <v>84</v>
      </c>
    </row>
    <row r="643" spans="1:6" x14ac:dyDescent="0.55000000000000004">
      <c r="A643" s="4" t="str">
        <f>GUIDE[[#This Row],[SITE]]&amp;"-"&amp;GUIDE[[#This Row],[TVGID]]</f>
        <v>vidio.com-iNews.id@SD</v>
      </c>
      <c r="B643" t="s">
        <v>918</v>
      </c>
      <c r="C643" s="3" t="s">
        <v>1735</v>
      </c>
      <c r="D643" t="s">
        <v>939</v>
      </c>
      <c r="E643" t="s">
        <v>916</v>
      </c>
      <c r="F643" t="s">
        <v>90</v>
      </c>
    </row>
    <row r="644" spans="1:6" x14ac:dyDescent="0.55000000000000004">
      <c r="A644" s="4" t="str">
        <f>GUIDE[[#This Row],[SITE]]&amp;"-"&amp;GUIDE[[#This Row],[TVGID]]</f>
        <v>vidio.com-JakTV.id@SD</v>
      </c>
      <c r="B644" t="s">
        <v>918</v>
      </c>
      <c r="C644" s="3" t="s">
        <v>1736</v>
      </c>
      <c r="D644" t="s">
        <v>939</v>
      </c>
      <c r="E644" t="s">
        <v>536</v>
      </c>
      <c r="F644" t="s">
        <v>1737</v>
      </c>
    </row>
    <row r="645" spans="1:6" x14ac:dyDescent="0.55000000000000004">
      <c r="A645" s="4" t="str">
        <f>GUIDE[[#This Row],[SITE]]&amp;"-"&amp;GUIDE[[#This Row],[TVGID]]</f>
        <v>vidio.com-JawaPosTV.id@SD</v>
      </c>
      <c r="B645" t="s">
        <v>918</v>
      </c>
      <c r="C645" s="3" t="s">
        <v>1738</v>
      </c>
      <c r="D645" t="s">
        <v>939</v>
      </c>
      <c r="E645" t="s">
        <v>548</v>
      </c>
      <c r="F645" t="s">
        <v>1739</v>
      </c>
    </row>
    <row r="646" spans="1:6" x14ac:dyDescent="0.55000000000000004">
      <c r="A646" s="4" t="str">
        <f>GUIDE[[#This Row],[SITE]]&amp;"-"&amp;GUIDE[[#This Row],[TVGID]]</f>
        <v>vidio.com-JTV.id@SD</v>
      </c>
      <c r="B646" t="s">
        <v>918</v>
      </c>
      <c r="C646" s="3" t="s">
        <v>1740</v>
      </c>
      <c r="D646" t="s">
        <v>939</v>
      </c>
      <c r="E646" t="s">
        <v>543</v>
      </c>
      <c r="F646" t="s">
        <v>102</v>
      </c>
    </row>
    <row r="647" spans="1:6" x14ac:dyDescent="0.55000000000000004">
      <c r="A647" s="4" t="str">
        <f>GUIDE[[#This Row],[SITE]]&amp;"-"&amp;GUIDE[[#This Row],[TVGID]]</f>
        <v>vidio.com-KompasTV.id@SD</v>
      </c>
      <c r="B647" t="s">
        <v>918</v>
      </c>
      <c r="C647" s="3" t="s">
        <v>1741</v>
      </c>
      <c r="D647" t="s">
        <v>939</v>
      </c>
      <c r="E647" t="s">
        <v>534</v>
      </c>
      <c r="F647" t="s">
        <v>85</v>
      </c>
    </row>
    <row r="648" spans="1:6" x14ac:dyDescent="0.55000000000000004">
      <c r="A648" s="4" t="str">
        <f>GUIDE[[#This Row],[SITE]]&amp;"-"&amp;GUIDE[[#This Row],[TVGID]]</f>
        <v>vidio.com-MagnaChannel.id@SD</v>
      </c>
      <c r="B648" t="s">
        <v>918</v>
      </c>
      <c r="C648" s="3" t="s">
        <v>1742</v>
      </c>
      <c r="D648" t="s">
        <v>939</v>
      </c>
      <c r="E648" t="s">
        <v>1087</v>
      </c>
      <c r="F648" t="s">
        <v>1743</v>
      </c>
    </row>
    <row r="649" spans="1:6" x14ac:dyDescent="0.55000000000000004">
      <c r="A649" s="4" t="str">
        <f>GUIDE[[#This Row],[SITE]]&amp;"-"&amp;GUIDE[[#This Row],[TVGID]]</f>
        <v>vidio.com-MakkahTV.sa@SD</v>
      </c>
      <c r="B649" t="s">
        <v>918</v>
      </c>
      <c r="C649" s="3" t="s">
        <v>1744</v>
      </c>
      <c r="D649" t="s">
        <v>939</v>
      </c>
      <c r="E649" t="s">
        <v>1745</v>
      </c>
      <c r="F649" t="s">
        <v>1746</v>
      </c>
    </row>
    <row r="650" spans="1:6" x14ac:dyDescent="0.55000000000000004">
      <c r="A650" s="4" t="str">
        <f>GUIDE[[#This Row],[SITE]]&amp;"-"&amp;GUIDE[[#This Row],[TVGID]]</f>
        <v>vidio.com-MDTV.id@HD</v>
      </c>
      <c r="B650" t="s">
        <v>918</v>
      </c>
      <c r="C650" s="3" t="s">
        <v>1747</v>
      </c>
      <c r="D650" t="s">
        <v>939</v>
      </c>
      <c r="E650" t="s">
        <v>924</v>
      </c>
      <c r="F650" t="s">
        <v>366</v>
      </c>
    </row>
    <row r="651" spans="1:6" x14ac:dyDescent="0.55000000000000004">
      <c r="A651" s="4" t="str">
        <f>GUIDE[[#This Row],[SITE]]&amp;"-"&amp;GUIDE[[#This Row],[TVGID]]</f>
        <v>vidio.com-MentariTV.id@SD</v>
      </c>
      <c r="B651" t="s">
        <v>918</v>
      </c>
      <c r="C651" s="3" t="s">
        <v>1748</v>
      </c>
      <c r="D651" t="s">
        <v>939</v>
      </c>
      <c r="E651" t="s">
        <v>568</v>
      </c>
      <c r="F651" t="s">
        <v>88</v>
      </c>
    </row>
    <row r="652" spans="1:6" x14ac:dyDescent="0.55000000000000004">
      <c r="A652" s="4" t="str">
        <f>GUIDE[[#This Row],[SITE]]&amp;"-"&amp;GUIDE[[#This Row],[TVGID]]</f>
        <v>vidio.com-MetroTV.id@SD</v>
      </c>
      <c r="B652" t="s">
        <v>918</v>
      </c>
      <c r="C652" s="3" t="s">
        <v>1749</v>
      </c>
      <c r="D652" t="s">
        <v>939</v>
      </c>
      <c r="E652" t="s">
        <v>523</v>
      </c>
      <c r="F652" t="s">
        <v>34</v>
      </c>
    </row>
    <row r="653" spans="1:6" x14ac:dyDescent="0.55000000000000004">
      <c r="A653" s="4" t="str">
        <f>GUIDE[[#This Row],[SITE]]&amp;"-"&amp;GUIDE[[#This Row],[TVGID]]</f>
        <v>vidio.com-MNCTV.id@SD</v>
      </c>
      <c r="B653" t="s">
        <v>918</v>
      </c>
      <c r="C653" s="3" t="s">
        <v>1750</v>
      </c>
      <c r="D653" t="s">
        <v>939</v>
      </c>
      <c r="E653" t="s">
        <v>649</v>
      </c>
      <c r="F653" t="s">
        <v>1330</v>
      </c>
    </row>
    <row r="654" spans="1:6" x14ac:dyDescent="0.55000000000000004">
      <c r="A654" s="4" t="str">
        <f>GUIDE[[#This Row],[SITE]]&amp;"-"&amp;GUIDE[[#This Row],[TVGID]]</f>
        <v>vidio.com-Moji.id@SD</v>
      </c>
      <c r="B654" t="s">
        <v>918</v>
      </c>
      <c r="C654" s="3" t="s">
        <v>1306</v>
      </c>
      <c r="D654" t="s">
        <v>939</v>
      </c>
      <c r="E654" t="s">
        <v>545</v>
      </c>
      <c r="F654" t="s">
        <v>803</v>
      </c>
    </row>
    <row r="655" spans="1:6" x14ac:dyDescent="0.55000000000000004">
      <c r="A655" s="4" t="str">
        <f>GUIDE[[#This Row],[SITE]]&amp;"-"&amp;GUIDE[[#This Row],[TVGID]]</f>
        <v>vidio.com-NHKWorldJapan.jp@SD</v>
      </c>
      <c r="B655" t="s">
        <v>918</v>
      </c>
      <c r="C655" s="3" t="s">
        <v>1751</v>
      </c>
      <c r="D655" t="s">
        <v>939</v>
      </c>
      <c r="E655" t="s">
        <v>628</v>
      </c>
      <c r="F655" t="s">
        <v>818</v>
      </c>
    </row>
    <row r="656" spans="1:6" x14ac:dyDescent="0.55000000000000004">
      <c r="A656" s="4" t="str">
        <f>GUIDE[[#This Row],[SITE]]&amp;"-"&amp;GUIDE[[#This Row],[TVGID]]</f>
        <v>vidio.com-NusantaraTV.id@SD</v>
      </c>
      <c r="B656" t="s">
        <v>918</v>
      </c>
      <c r="C656" s="3" t="s">
        <v>1752</v>
      </c>
      <c r="D656" t="s">
        <v>939</v>
      </c>
      <c r="E656" t="s">
        <v>546</v>
      </c>
      <c r="F656" t="s">
        <v>43</v>
      </c>
    </row>
    <row r="657" spans="1:6" x14ac:dyDescent="0.55000000000000004">
      <c r="A657" s="4" t="str">
        <f>GUIDE[[#This Row],[SITE]]&amp;"-"&amp;GUIDE[[#This Row],[TVGID]]</f>
        <v>vidio.com-RajawaliTV.id@SD</v>
      </c>
      <c r="B657" t="s">
        <v>918</v>
      </c>
      <c r="C657" s="3" t="s">
        <v>1753</v>
      </c>
      <c r="D657" t="s">
        <v>939</v>
      </c>
      <c r="E657" t="s">
        <v>538</v>
      </c>
      <c r="F657" t="s">
        <v>834</v>
      </c>
    </row>
    <row r="658" spans="1:6" x14ac:dyDescent="0.55000000000000004">
      <c r="A658" s="4" t="str">
        <f>GUIDE[[#This Row],[SITE]]&amp;"-"&amp;GUIDE[[#This Row],[TVGID]]</f>
        <v>vidio.com-RCTI.id@SD</v>
      </c>
      <c r="B658" t="s">
        <v>918</v>
      </c>
      <c r="C658" s="3" t="s">
        <v>1754</v>
      </c>
      <c r="D658" t="s">
        <v>939</v>
      </c>
      <c r="E658" t="s">
        <v>639</v>
      </c>
      <c r="F658" t="s">
        <v>511</v>
      </c>
    </row>
    <row r="659" spans="1:6" x14ac:dyDescent="0.55000000000000004">
      <c r="A659" s="4" t="str">
        <f>GUIDE[[#This Row],[SITE]]&amp;"-"&amp;GUIDE[[#This Row],[TVGID]]</f>
        <v>vidio.com-RealMadridTVEnglish.es@SD</v>
      </c>
      <c r="B659" t="s">
        <v>918</v>
      </c>
      <c r="C659" s="3" t="s">
        <v>1755</v>
      </c>
      <c r="D659" t="s">
        <v>939</v>
      </c>
      <c r="E659" t="s">
        <v>1756</v>
      </c>
      <c r="F659" t="s">
        <v>1757</v>
      </c>
    </row>
    <row r="660" spans="1:6" x14ac:dyDescent="0.55000000000000004">
      <c r="A660" s="4" t="str">
        <f>GUIDE[[#This Row],[SITE]]&amp;"-"&amp;GUIDE[[#This Row],[TVGID]]</f>
        <v>vidio.com-ROCKAction.sg@SD</v>
      </c>
      <c r="B660" t="s">
        <v>918</v>
      </c>
      <c r="C660" s="3" t="s">
        <v>1758</v>
      </c>
      <c r="D660" t="s">
        <v>939</v>
      </c>
      <c r="E660" t="s">
        <v>928</v>
      </c>
      <c r="F660" t="s">
        <v>56</v>
      </c>
    </row>
    <row r="661" spans="1:6" x14ac:dyDescent="0.55000000000000004">
      <c r="A661" s="4" t="str">
        <f>GUIDE[[#This Row],[SITE]]&amp;"-"&amp;GUIDE[[#This Row],[TVGID]]</f>
        <v>vidio.com-SCTV.id@SD</v>
      </c>
      <c r="B661" t="s">
        <v>918</v>
      </c>
      <c r="C661" s="3" t="s">
        <v>941</v>
      </c>
      <c r="D661" t="s">
        <v>939</v>
      </c>
      <c r="E661" t="s">
        <v>530</v>
      </c>
      <c r="F661" t="s">
        <v>38</v>
      </c>
    </row>
    <row r="662" spans="1:6" x14ac:dyDescent="0.55000000000000004">
      <c r="A662" s="4" t="str">
        <f>GUIDE[[#This Row],[SITE]]&amp;"-"&amp;GUIDE[[#This Row],[TVGID]]</f>
        <v>vidio.com-SinPoTV.id@HD</v>
      </c>
      <c r="B662" t="s">
        <v>918</v>
      </c>
      <c r="C662" s="3" t="s">
        <v>1759</v>
      </c>
      <c r="D662" t="s">
        <v>939</v>
      </c>
      <c r="E662" t="s">
        <v>925</v>
      </c>
      <c r="F662" t="s">
        <v>1676</v>
      </c>
    </row>
    <row r="663" spans="1:6" x14ac:dyDescent="0.55000000000000004">
      <c r="A663" s="4" t="str">
        <f>GUIDE[[#This Row],[SITE]]&amp;"-"&amp;GUIDE[[#This Row],[TVGID]]</f>
        <v>vidio.com-SPOTV.id@SD</v>
      </c>
      <c r="B663" t="s">
        <v>918</v>
      </c>
      <c r="C663" s="3" t="s">
        <v>1761</v>
      </c>
      <c r="D663" t="s">
        <v>939</v>
      </c>
      <c r="E663" t="s">
        <v>614</v>
      </c>
      <c r="F663" t="s">
        <v>309</v>
      </c>
    </row>
    <row r="664" spans="1:6" x14ac:dyDescent="0.55000000000000004">
      <c r="A664" s="4" t="str">
        <f>GUIDE[[#This Row],[SITE]]&amp;"-"&amp;GUIDE[[#This Row],[TVGID]]</f>
        <v>vidio.com-SPOTV2.id@SD</v>
      </c>
      <c r="B664" t="s">
        <v>918</v>
      </c>
      <c r="C664" s="3" t="s">
        <v>1760</v>
      </c>
      <c r="D664" t="s">
        <v>939</v>
      </c>
      <c r="E664" t="s">
        <v>615</v>
      </c>
      <c r="F664" t="s">
        <v>310</v>
      </c>
    </row>
    <row r="665" spans="1:6" x14ac:dyDescent="0.55000000000000004">
      <c r="A665" s="4" t="str">
        <f>GUIDE[[#This Row],[SITE]]&amp;"-"&amp;GUIDE[[#This Row],[TVGID]]</f>
        <v>vidio.com-Trans7.id@SD</v>
      </c>
      <c r="B665" t="s">
        <v>918</v>
      </c>
      <c r="C665" s="3" t="s">
        <v>1762</v>
      </c>
      <c r="D665" t="s">
        <v>939</v>
      </c>
      <c r="E665" t="s">
        <v>528</v>
      </c>
      <c r="F665" t="s">
        <v>200</v>
      </c>
    </row>
    <row r="666" spans="1:6" x14ac:dyDescent="0.55000000000000004">
      <c r="A666" s="4" t="str">
        <f>GUIDE[[#This Row],[SITE]]&amp;"-"&amp;GUIDE[[#This Row],[TVGID]]</f>
        <v>vidio.com-TransTV.id@SD</v>
      </c>
      <c r="B666" t="s">
        <v>918</v>
      </c>
      <c r="C666" s="3" t="s">
        <v>1763</v>
      </c>
      <c r="D666" t="s">
        <v>939</v>
      </c>
      <c r="E666" t="s">
        <v>527</v>
      </c>
      <c r="F666" t="s">
        <v>1764</v>
      </c>
    </row>
    <row r="667" spans="1:6" x14ac:dyDescent="0.55000000000000004">
      <c r="A667" s="4" t="str">
        <f>GUIDE[[#This Row],[SITE]]&amp;"-"&amp;GUIDE[[#This Row],[TVGID]]</f>
        <v>vidio.com-TV5MondeAsia.fr@SD</v>
      </c>
      <c r="B667" t="s">
        <v>918</v>
      </c>
      <c r="C667" s="3" t="s">
        <v>1765</v>
      </c>
      <c r="D667" t="s">
        <v>939</v>
      </c>
      <c r="E667" t="s">
        <v>582</v>
      </c>
      <c r="F667" t="s">
        <v>133</v>
      </c>
    </row>
    <row r="668" spans="1:6" x14ac:dyDescent="0.55000000000000004">
      <c r="A668" s="4" t="str">
        <f>GUIDE[[#This Row],[SITE]]&amp;"-"&amp;GUIDE[[#This Row],[TVGID]]</f>
        <v>vidio.com-tvNAsia.hk@SD</v>
      </c>
      <c r="B668" t="s">
        <v>918</v>
      </c>
      <c r="C668" s="3" t="s">
        <v>1766</v>
      </c>
      <c r="D668" t="s">
        <v>939</v>
      </c>
      <c r="E668" t="s">
        <v>584</v>
      </c>
      <c r="F668" t="s">
        <v>135</v>
      </c>
    </row>
    <row r="669" spans="1:6" x14ac:dyDescent="0.55000000000000004">
      <c r="A669" s="4" t="str">
        <f>GUIDE[[#This Row],[SITE]]&amp;"-"&amp;GUIDE[[#This Row],[TVGID]]</f>
        <v>vidio.com-tvOne.id@SD</v>
      </c>
      <c r="B669" t="s">
        <v>918</v>
      </c>
      <c r="C669" s="3" t="s">
        <v>1767</v>
      </c>
      <c r="D669" t="s">
        <v>939</v>
      </c>
      <c r="E669" t="s">
        <v>526</v>
      </c>
      <c r="F669" t="s">
        <v>1034</v>
      </c>
    </row>
    <row r="670" spans="1:6" x14ac:dyDescent="0.55000000000000004">
      <c r="A670" s="4" t="str">
        <f>GUIDE[[#This Row],[SITE]]&amp;"-"&amp;GUIDE[[#This Row],[TVGID]]</f>
        <v>vidio.com-TVRI.id@HD</v>
      </c>
      <c r="B670" t="s">
        <v>918</v>
      </c>
      <c r="C670" s="3" t="s">
        <v>1768</v>
      </c>
      <c r="D670" t="s">
        <v>939</v>
      </c>
      <c r="E670" t="s">
        <v>1769</v>
      </c>
      <c r="F670" t="s">
        <v>83</v>
      </c>
    </row>
    <row r="671" spans="1:6" x14ac:dyDescent="0.55000000000000004">
      <c r="A671" s="4" t="str">
        <f>GUIDE[[#This Row],[SITE]]&amp;"-"&amp;GUIDE[[#This Row],[TVGID]]</f>
        <v>vidio.com-UChannel.id@SD</v>
      </c>
      <c r="B671" t="s">
        <v>918</v>
      </c>
      <c r="C671" s="3" t="s">
        <v>1770</v>
      </c>
      <c r="D671" t="s">
        <v>939</v>
      </c>
      <c r="E671" t="s">
        <v>1212</v>
      </c>
      <c r="F671" t="s">
        <v>1771</v>
      </c>
    </row>
    <row r="672" spans="1:6" x14ac:dyDescent="0.55000000000000004">
      <c r="A672" s="4" t="str">
        <f>GUIDE[[#This Row],[SITE]]&amp;"-"&amp;GUIDE[[#This Row],[TVGID]]</f>
        <v>visionplus.id-ABCAustralia.au@SD</v>
      </c>
      <c r="B672" t="s">
        <v>919</v>
      </c>
      <c r="C672" s="3" t="s">
        <v>1772</v>
      </c>
      <c r="D672" t="s">
        <v>939</v>
      </c>
      <c r="E672" t="s">
        <v>590</v>
      </c>
      <c r="F672" t="s">
        <v>1773</v>
      </c>
    </row>
    <row r="673" spans="1:6" x14ac:dyDescent="0.55000000000000004">
      <c r="A673" s="4" t="str">
        <f>GUIDE[[#This Row],[SITE]]&amp;"-"&amp;GUIDE[[#This Row],[TVGID]]</f>
        <v>visionplus.id-AlJazeera.qa@English</v>
      </c>
      <c r="B673" t="s">
        <v>919</v>
      </c>
      <c r="C673" s="3" t="s">
        <v>1774</v>
      </c>
      <c r="D673" t="s">
        <v>939</v>
      </c>
      <c r="E673" t="s">
        <v>1042</v>
      </c>
      <c r="F673" t="s">
        <v>231</v>
      </c>
    </row>
    <row r="674" spans="1:6" x14ac:dyDescent="0.55000000000000004">
      <c r="A674" s="4" t="str">
        <f>GUIDE[[#This Row],[SITE]]&amp;"-"&amp;GUIDE[[#This Row],[TVGID]]</f>
        <v>visionplus.id-AlQuranAlKareemTV.sa@SD</v>
      </c>
      <c r="B674" t="s">
        <v>919</v>
      </c>
      <c r="C674" s="3" t="s">
        <v>1775</v>
      </c>
      <c r="D674" t="s">
        <v>939</v>
      </c>
      <c r="E674" t="s">
        <v>914</v>
      </c>
      <c r="F674" t="s">
        <v>942</v>
      </c>
    </row>
    <row r="675" spans="1:6" x14ac:dyDescent="0.55000000000000004">
      <c r="A675" s="4" t="str">
        <f>GUIDE[[#This Row],[SITE]]&amp;"-"&amp;GUIDE[[#This Row],[TVGID]]</f>
        <v>visionplus.id-AnhuiTV.cn@SD</v>
      </c>
      <c r="B675" t="s">
        <v>919</v>
      </c>
      <c r="C675" s="3" t="s">
        <v>1776</v>
      </c>
      <c r="D675" t="s">
        <v>939</v>
      </c>
      <c r="E675" t="s">
        <v>1777</v>
      </c>
      <c r="F675" t="s">
        <v>1778</v>
      </c>
    </row>
    <row r="676" spans="1:6" x14ac:dyDescent="0.55000000000000004">
      <c r="A676" s="4" t="str">
        <f>GUIDE[[#This Row],[SITE]]&amp;"-"&amp;GUIDE[[#This Row],[TVGID]]</f>
        <v>visionplus.id-AnimaxAsia.sg@SD</v>
      </c>
      <c r="B676" t="s">
        <v>919</v>
      </c>
      <c r="C676" s="3" t="s">
        <v>1779</v>
      </c>
      <c r="D676" t="s">
        <v>939</v>
      </c>
      <c r="E676" t="s">
        <v>576</v>
      </c>
      <c r="F676" t="s">
        <v>57</v>
      </c>
    </row>
    <row r="677" spans="1:6" x14ac:dyDescent="0.55000000000000004">
      <c r="A677" s="4" t="str">
        <f>GUIDE[[#This Row],[SITE]]&amp;"-"&amp;GUIDE[[#This Row],[TVGID]]</f>
        <v>visionplus.id-ANTV.id@SD</v>
      </c>
      <c r="B677" t="s">
        <v>919</v>
      </c>
      <c r="C677" s="3" t="s">
        <v>1780</v>
      </c>
      <c r="D677" t="s">
        <v>939</v>
      </c>
      <c r="E677" t="s">
        <v>531</v>
      </c>
      <c r="F677" t="s">
        <v>89</v>
      </c>
    </row>
    <row r="678" spans="1:6" x14ac:dyDescent="0.55000000000000004">
      <c r="A678" s="4" t="str">
        <f>GUIDE[[#This Row],[SITE]]&amp;"-"&amp;GUIDE[[#This Row],[TVGID]]</f>
        <v>visionplus.id-ArirangTV.kr@SD</v>
      </c>
      <c r="B678" t="s">
        <v>919</v>
      </c>
      <c r="C678" s="3" t="s">
        <v>1781</v>
      </c>
      <c r="D678" t="s">
        <v>939</v>
      </c>
      <c r="E678" t="s">
        <v>591</v>
      </c>
      <c r="F678" t="s">
        <v>94</v>
      </c>
    </row>
    <row r="679" spans="1:6" x14ac:dyDescent="0.55000000000000004">
      <c r="A679" s="4" t="str">
        <f>GUIDE[[#This Row],[SITE]]&amp;"-"&amp;GUIDE[[#This Row],[TVGID]]</f>
        <v>visionplus.id-AXNAsia.sg@Indonesia</v>
      </c>
      <c r="B679" t="s">
        <v>919</v>
      </c>
      <c r="C679" s="3" t="s">
        <v>1782</v>
      </c>
      <c r="D679" t="s">
        <v>939</v>
      </c>
      <c r="E679" t="s">
        <v>372</v>
      </c>
      <c r="F679" t="s">
        <v>59</v>
      </c>
    </row>
    <row r="680" spans="1:6" x14ac:dyDescent="0.55000000000000004">
      <c r="A680" s="4" t="str">
        <f>GUIDE[[#This Row],[SITE]]&amp;"-"&amp;GUIDE[[#This Row],[TVGID]]</f>
        <v>visionplus.id-BaliTV.id@SD</v>
      </c>
      <c r="B680" t="s">
        <v>919</v>
      </c>
      <c r="C680" s="3" t="s">
        <v>1783</v>
      </c>
      <c r="D680" t="s">
        <v>939</v>
      </c>
      <c r="E680" t="s">
        <v>542</v>
      </c>
      <c r="F680" t="s">
        <v>42</v>
      </c>
    </row>
    <row r="681" spans="1:6" x14ac:dyDescent="0.55000000000000004">
      <c r="A681" s="4" t="str">
        <f>GUIDE[[#This Row],[SITE]]&amp;"-"&amp;GUIDE[[#This Row],[TVGID]]</f>
        <v>visionplus.id-BandungTV.id@SD</v>
      </c>
      <c r="B681" t="s">
        <v>919</v>
      </c>
      <c r="C681" s="3" t="s">
        <v>1784</v>
      </c>
      <c r="D681" t="s">
        <v>939</v>
      </c>
      <c r="E681" t="s">
        <v>1785</v>
      </c>
      <c r="F681" t="s">
        <v>1786</v>
      </c>
    </row>
    <row r="682" spans="1:6" x14ac:dyDescent="0.55000000000000004">
      <c r="A682" s="4" t="str">
        <f>GUIDE[[#This Row],[SITE]]&amp;"-"&amp;GUIDE[[#This Row],[TVGID]]</f>
        <v>visionplus.id-BBCEarth.uk@Asia</v>
      </c>
      <c r="B682" t="s">
        <v>919</v>
      </c>
      <c r="C682" s="3" t="s">
        <v>1787</v>
      </c>
      <c r="D682" t="s">
        <v>939</v>
      </c>
      <c r="E682" t="s">
        <v>1223</v>
      </c>
      <c r="F682" t="s">
        <v>1224</v>
      </c>
    </row>
    <row r="683" spans="1:6" x14ac:dyDescent="0.55000000000000004">
      <c r="A683" s="4" t="str">
        <f>GUIDE[[#This Row],[SITE]]&amp;"-"&amp;GUIDE[[#This Row],[TVGID]]</f>
        <v>visionplus.id-BBCNews.uk@AsiaPacific</v>
      </c>
      <c r="B683" t="s">
        <v>919</v>
      </c>
      <c r="C683" s="3" t="s">
        <v>1788</v>
      </c>
      <c r="D683" t="s">
        <v>939</v>
      </c>
      <c r="E683" t="s">
        <v>915</v>
      </c>
      <c r="F683" t="s">
        <v>1789</v>
      </c>
    </row>
    <row r="684" spans="1:6" x14ac:dyDescent="0.55000000000000004">
      <c r="A684" s="4" t="str">
        <f>GUIDE[[#This Row],[SITE]]&amp;"-"&amp;GUIDE[[#This Row],[TVGID]]</f>
        <v>visionplus.id-beINSports1.qa@Indonesia</v>
      </c>
      <c r="B684" t="s">
        <v>919</v>
      </c>
      <c r="C684" s="3" t="s">
        <v>1790</v>
      </c>
      <c r="D684" t="s">
        <v>939</v>
      </c>
      <c r="E684" t="s">
        <v>1231</v>
      </c>
      <c r="F684" t="s">
        <v>1791</v>
      </c>
    </row>
    <row r="685" spans="1:6" x14ac:dyDescent="0.55000000000000004">
      <c r="A685" s="4" t="str">
        <f>GUIDE[[#This Row],[SITE]]&amp;"-"&amp;GUIDE[[#This Row],[TVGID]]</f>
        <v>visionplus.id-beINSports2.qa@MENA</v>
      </c>
      <c r="B685" t="s">
        <v>919</v>
      </c>
      <c r="C685" s="3" t="s">
        <v>1792</v>
      </c>
      <c r="D685" t="s">
        <v>939</v>
      </c>
      <c r="E685" t="s">
        <v>1234</v>
      </c>
      <c r="F685" t="s">
        <v>1416</v>
      </c>
    </row>
    <row r="686" spans="1:6" x14ac:dyDescent="0.55000000000000004">
      <c r="A686" s="4" t="str">
        <f>GUIDE[[#This Row],[SITE]]&amp;"-"&amp;GUIDE[[#This Row],[TVGID]]</f>
        <v>visionplus.id-beINSports3.qa@Indonesia</v>
      </c>
      <c r="B686" t="s">
        <v>919</v>
      </c>
      <c r="C686" s="3" t="s">
        <v>1793</v>
      </c>
      <c r="D686" t="s">
        <v>939</v>
      </c>
      <c r="E686" t="s">
        <v>1237</v>
      </c>
      <c r="F686" t="s">
        <v>1422</v>
      </c>
    </row>
    <row r="687" spans="1:6" x14ac:dyDescent="0.55000000000000004">
      <c r="A687" s="4" t="str">
        <f>GUIDE[[#This Row],[SITE]]&amp;"-"&amp;GUIDE[[#This Row],[TVGID]]</f>
        <v>visionplus.id-beINSports4.qa@MENA</v>
      </c>
      <c r="B687" t="s">
        <v>919</v>
      </c>
      <c r="C687" s="3" t="s">
        <v>1794</v>
      </c>
      <c r="D687" t="s">
        <v>939</v>
      </c>
      <c r="E687" t="s">
        <v>1240</v>
      </c>
      <c r="F687" t="s">
        <v>1241</v>
      </c>
    </row>
    <row r="688" spans="1:6" x14ac:dyDescent="0.55000000000000004">
      <c r="A688" s="4" t="str">
        <f>GUIDE[[#This Row],[SITE]]&amp;"-"&amp;GUIDE[[#This Row],[TVGID]]</f>
        <v>visionplus.id-beINSports5.qa@MENA</v>
      </c>
      <c r="B688" t="s">
        <v>919</v>
      </c>
      <c r="C688" s="3" t="s">
        <v>1795</v>
      </c>
      <c r="D688" t="s">
        <v>939</v>
      </c>
      <c r="E688" t="s">
        <v>1243</v>
      </c>
      <c r="F688" t="s">
        <v>1244</v>
      </c>
    </row>
    <row r="689" spans="1:6" x14ac:dyDescent="0.55000000000000004">
      <c r="A689" s="4" t="str">
        <f>GUIDE[[#This Row],[SITE]]&amp;"-"&amp;GUIDE[[#This Row],[TVGID]]</f>
        <v>visionplus.id-BloombergTV.us@Asia</v>
      </c>
      <c r="B689" t="s">
        <v>919</v>
      </c>
      <c r="C689" s="3" t="s">
        <v>1796</v>
      </c>
      <c r="D689" t="s">
        <v>939</v>
      </c>
      <c r="E689" t="s">
        <v>374</v>
      </c>
      <c r="F689" t="s">
        <v>699</v>
      </c>
    </row>
    <row r="690" spans="1:6" x14ac:dyDescent="0.55000000000000004">
      <c r="A690" s="4" t="str">
        <f>GUIDE[[#This Row],[SITE]]&amp;"-"&amp;GUIDE[[#This Row],[TVGID]]</f>
        <v>visionplus.id-BTV.id@SD</v>
      </c>
      <c r="B690" t="s">
        <v>919</v>
      </c>
      <c r="C690" s="3" t="s">
        <v>1797</v>
      </c>
      <c r="D690" t="s">
        <v>939</v>
      </c>
      <c r="E690" t="s">
        <v>535</v>
      </c>
      <c r="F690" t="s">
        <v>86</v>
      </c>
    </row>
    <row r="691" spans="1:6" x14ac:dyDescent="0.55000000000000004">
      <c r="A691" s="4" t="str">
        <f>GUIDE[[#This Row],[SITE]]&amp;"-"&amp;GUIDE[[#This Row],[TVGID]]</f>
        <v>visionplus.id-CBeebiesAsia.uk@SD</v>
      </c>
      <c r="B691" t="s">
        <v>919</v>
      </c>
      <c r="C691" s="3" t="s">
        <v>1798</v>
      </c>
      <c r="D691" t="s">
        <v>939</v>
      </c>
      <c r="E691" t="s">
        <v>657</v>
      </c>
      <c r="F691" t="s">
        <v>1799</v>
      </c>
    </row>
    <row r="692" spans="1:6" x14ac:dyDescent="0.55000000000000004">
      <c r="A692" s="4" t="str">
        <f>GUIDE[[#This Row],[SITE]]&amp;"-"&amp;GUIDE[[#This Row],[TVGID]]</f>
        <v>visionplus.id-CelebritiesTV.id@SD</v>
      </c>
      <c r="B692" t="s">
        <v>919</v>
      </c>
      <c r="C692" s="3" t="s">
        <v>1800</v>
      </c>
      <c r="D692" t="s">
        <v>939</v>
      </c>
      <c r="E692" t="s">
        <v>1248</v>
      </c>
      <c r="F692" t="s">
        <v>1249</v>
      </c>
    </row>
    <row r="693" spans="1:6" x14ac:dyDescent="0.55000000000000004">
      <c r="A693" s="4" t="str">
        <f>GUIDE[[#This Row],[SITE]]&amp;"-"&amp;GUIDE[[#This Row],[TVGID]]</f>
        <v>visionplus.id-CelestialClassicMovies.id@SD</v>
      </c>
      <c r="B693" t="s">
        <v>919</v>
      </c>
      <c r="C693" s="3" t="s">
        <v>1801</v>
      </c>
      <c r="D693" t="s">
        <v>939</v>
      </c>
      <c r="E693" t="s">
        <v>1250</v>
      </c>
      <c r="F693" t="s">
        <v>1251</v>
      </c>
    </row>
    <row r="694" spans="1:6" x14ac:dyDescent="0.55000000000000004">
      <c r="A694" s="4" t="str">
        <f>GUIDE[[#This Row],[SITE]]&amp;"-"&amp;GUIDE[[#This Row],[TVGID]]</f>
        <v>visionplus.id-CelestialMoviesIndonesia.id@SD</v>
      </c>
      <c r="B694" t="s">
        <v>919</v>
      </c>
      <c r="C694" s="3" t="s">
        <v>1802</v>
      </c>
      <c r="D694" t="s">
        <v>939</v>
      </c>
      <c r="E694" t="s">
        <v>605</v>
      </c>
      <c r="F694" t="s">
        <v>706</v>
      </c>
    </row>
    <row r="695" spans="1:6" x14ac:dyDescent="0.55000000000000004">
      <c r="A695" s="4" t="str">
        <f>GUIDE[[#This Row],[SITE]]&amp;"-"&amp;GUIDE[[#This Row],[TVGID]]</f>
        <v>visionplus.id-CGTN.cn@SD</v>
      </c>
      <c r="B695" t="s">
        <v>919</v>
      </c>
      <c r="C695" s="3" t="s">
        <v>1803</v>
      </c>
      <c r="D695" t="s">
        <v>939</v>
      </c>
      <c r="E695" t="s">
        <v>951</v>
      </c>
      <c r="F695" t="s">
        <v>709</v>
      </c>
    </row>
    <row r="696" spans="1:6" x14ac:dyDescent="0.55000000000000004">
      <c r="A696" s="4" t="str">
        <f>GUIDE[[#This Row],[SITE]]&amp;"-"&amp;GUIDE[[#This Row],[TVGID]]</f>
        <v>visionplus.id-CGTNDocumentary.cn@SD</v>
      </c>
      <c r="B696" t="s">
        <v>919</v>
      </c>
      <c r="C696" s="3" t="s">
        <v>1804</v>
      </c>
      <c r="D696" t="s">
        <v>939</v>
      </c>
      <c r="E696" t="s">
        <v>555</v>
      </c>
      <c r="F696" t="s">
        <v>48</v>
      </c>
    </row>
    <row r="697" spans="1:6" x14ac:dyDescent="0.55000000000000004">
      <c r="A697" s="4" t="str">
        <f>GUIDE[[#This Row],[SITE]]&amp;"-"&amp;GUIDE[[#This Row],[TVGID]]</f>
        <v>visionplus.id-Cinemachi.uk@SD</v>
      </c>
      <c r="B697" t="s">
        <v>919</v>
      </c>
      <c r="C697" s="3" t="s">
        <v>1805</v>
      </c>
      <c r="D697" t="s">
        <v>939</v>
      </c>
      <c r="E697" t="s">
        <v>1259</v>
      </c>
      <c r="F697" t="s">
        <v>1806</v>
      </c>
    </row>
    <row r="698" spans="1:6" x14ac:dyDescent="0.55000000000000004">
      <c r="A698" s="4" t="str">
        <f>GUIDE[[#This Row],[SITE]]&amp;"-"&amp;GUIDE[[#This Row],[TVGID]]</f>
        <v>visionplus.id-CinemachiAction.uk@SD</v>
      </c>
      <c r="B698" t="s">
        <v>919</v>
      </c>
      <c r="C698" s="3" t="s">
        <v>1807</v>
      </c>
      <c r="D698" t="s">
        <v>939</v>
      </c>
      <c r="E698" t="s">
        <v>1265</v>
      </c>
      <c r="F698" t="s">
        <v>1808</v>
      </c>
    </row>
    <row r="699" spans="1:6" x14ac:dyDescent="0.55000000000000004">
      <c r="A699" s="4" t="str">
        <f>GUIDE[[#This Row],[SITE]]&amp;"-"&amp;GUIDE[[#This Row],[TVGID]]</f>
        <v>visionplus.id-CinemachiKids.uk@SD</v>
      </c>
      <c r="B699" t="s">
        <v>919</v>
      </c>
      <c r="C699" s="3" t="s">
        <v>1809</v>
      </c>
      <c r="D699" t="s">
        <v>939</v>
      </c>
      <c r="E699" t="s">
        <v>1271</v>
      </c>
      <c r="F699" t="s">
        <v>1810</v>
      </c>
    </row>
    <row r="700" spans="1:6" x14ac:dyDescent="0.55000000000000004">
      <c r="A700" s="4" t="str">
        <f>GUIDE[[#This Row],[SITE]]&amp;"-"&amp;GUIDE[[#This Row],[TVGID]]</f>
        <v>visionplus.id-CinemachiMax.uk@SD</v>
      </c>
      <c r="B700" t="s">
        <v>919</v>
      </c>
      <c r="C700" s="3" t="s">
        <v>1811</v>
      </c>
      <c r="D700" t="s">
        <v>939</v>
      </c>
      <c r="E700" t="s">
        <v>1277</v>
      </c>
      <c r="F700" t="s">
        <v>1278</v>
      </c>
    </row>
    <row r="701" spans="1:6" x14ac:dyDescent="0.55000000000000004">
      <c r="A701" s="4" t="str">
        <f>GUIDE[[#This Row],[SITE]]&amp;"-"&amp;GUIDE[[#This Row],[TVGID]]</f>
        <v>visionplus.id-CinemachiXtra.uk@SD</v>
      </c>
      <c r="B701" t="s">
        <v>919</v>
      </c>
      <c r="C701" s="3" t="s">
        <v>1812</v>
      </c>
      <c r="D701" t="s">
        <v>939</v>
      </c>
      <c r="E701" t="s">
        <v>1282</v>
      </c>
      <c r="F701" t="s">
        <v>1813</v>
      </c>
    </row>
    <row r="702" spans="1:6" x14ac:dyDescent="0.55000000000000004">
      <c r="A702" s="4" t="str">
        <f>GUIDE[[#This Row],[SITE]]&amp;"-"&amp;GUIDE[[#This Row],[TVGID]]</f>
        <v>visionplus.id-CNA.sg@SD</v>
      </c>
      <c r="B702" t="s">
        <v>919</v>
      </c>
      <c r="C702" s="3" t="s">
        <v>1814</v>
      </c>
      <c r="D702" t="s">
        <v>939</v>
      </c>
      <c r="E702" t="s">
        <v>627</v>
      </c>
      <c r="F702" t="s">
        <v>1285</v>
      </c>
    </row>
    <row r="703" spans="1:6" x14ac:dyDescent="0.55000000000000004">
      <c r="A703" s="4" t="str">
        <f>GUIDE[[#This Row],[SITE]]&amp;"-"&amp;GUIDE[[#This Row],[TVGID]]</f>
        <v>visionplus.id-CNBCAsia.sg@SD</v>
      </c>
      <c r="B703" t="s">
        <v>919</v>
      </c>
      <c r="C703" s="3" t="s">
        <v>1815</v>
      </c>
      <c r="D703" t="s">
        <v>939</v>
      </c>
      <c r="E703" t="s">
        <v>626</v>
      </c>
      <c r="F703" t="s">
        <v>97</v>
      </c>
    </row>
    <row r="704" spans="1:6" x14ac:dyDescent="0.55000000000000004">
      <c r="A704" s="4" t="str">
        <f>GUIDE[[#This Row],[SITE]]&amp;"-"&amp;GUIDE[[#This Row],[TVGID]]</f>
        <v>visionplus.id-CrimePlusInvestigationAsia.sg@SD</v>
      </c>
      <c r="B704" t="s">
        <v>919</v>
      </c>
      <c r="C704" s="3" t="s">
        <v>1816</v>
      </c>
      <c r="D704" t="s">
        <v>939</v>
      </c>
      <c r="E704" t="s">
        <v>554</v>
      </c>
      <c r="F704" t="s">
        <v>159</v>
      </c>
    </row>
    <row r="705" spans="1:6" x14ac:dyDescent="0.55000000000000004">
      <c r="A705" s="4" t="str">
        <f>GUIDE[[#This Row],[SITE]]&amp;"-"&amp;GUIDE[[#This Row],[TVGID]]</f>
        <v>visionplus.id-DAAITV.id@SD</v>
      </c>
      <c r="B705" t="s">
        <v>919</v>
      </c>
      <c r="C705" s="3" t="s">
        <v>1817</v>
      </c>
      <c r="D705" t="s">
        <v>939</v>
      </c>
      <c r="E705" t="s">
        <v>540</v>
      </c>
      <c r="F705" t="s">
        <v>729</v>
      </c>
    </row>
    <row r="706" spans="1:6" x14ac:dyDescent="0.55000000000000004">
      <c r="A706" s="4" t="str">
        <f>GUIDE[[#This Row],[SITE]]&amp;"-"&amp;GUIDE[[#This Row],[TVGID]]</f>
        <v>visionplus.id-DensFoodChannel.id@SD</v>
      </c>
      <c r="B706" t="s">
        <v>919</v>
      </c>
      <c r="C706" s="3" t="s">
        <v>1818</v>
      </c>
      <c r="D706" t="s">
        <v>939</v>
      </c>
      <c r="E706" t="s">
        <v>965</v>
      </c>
      <c r="F706" t="s">
        <v>966</v>
      </c>
    </row>
    <row r="707" spans="1:6" x14ac:dyDescent="0.55000000000000004">
      <c r="A707" s="4" t="str">
        <f>GUIDE[[#This Row],[SITE]]&amp;"-"&amp;GUIDE[[#This Row],[TVGID]]</f>
        <v>visionplus.id-DensPlay.id@SD</v>
      </c>
      <c r="B707" t="s">
        <v>919</v>
      </c>
      <c r="C707" s="3" t="s">
        <v>1819</v>
      </c>
      <c r="D707" t="s">
        <v>939</v>
      </c>
      <c r="E707" t="s">
        <v>968</v>
      </c>
      <c r="F707" t="s">
        <v>1820</v>
      </c>
    </row>
    <row r="708" spans="1:6" x14ac:dyDescent="0.55000000000000004">
      <c r="A708" s="4" t="str">
        <f>GUIDE[[#This Row],[SITE]]&amp;"-"&amp;GUIDE[[#This Row],[TVGID]]</f>
        <v>visionplus.id-DensShowBiz.id@SD</v>
      </c>
      <c r="B708" t="s">
        <v>919</v>
      </c>
      <c r="C708" s="3" t="s">
        <v>1821</v>
      </c>
      <c r="D708" t="s">
        <v>939</v>
      </c>
      <c r="E708" t="s">
        <v>971</v>
      </c>
      <c r="F708" t="s">
        <v>1822</v>
      </c>
    </row>
    <row r="709" spans="1:6" x14ac:dyDescent="0.55000000000000004">
      <c r="A709" s="4" t="str">
        <f>GUIDE[[#This Row],[SITE]]&amp;"-"&amp;GUIDE[[#This Row],[TVGID]]</f>
        <v>visionplus.id-DMITV.id@SD</v>
      </c>
      <c r="B709" t="s">
        <v>919</v>
      </c>
      <c r="C709" s="3" t="s">
        <v>1823</v>
      </c>
      <c r="D709" t="s">
        <v>939</v>
      </c>
      <c r="E709" t="s">
        <v>923</v>
      </c>
      <c r="F709" t="s">
        <v>371</v>
      </c>
    </row>
    <row r="710" spans="1:6" x14ac:dyDescent="0.55000000000000004">
      <c r="A710" s="4" t="str">
        <f>GUIDE[[#This Row],[SITE]]&amp;"-"&amp;GUIDE[[#This Row],[TVGID]]</f>
        <v>visionplus.id-DragonTV.cn@SD</v>
      </c>
      <c r="B710" t="s">
        <v>919</v>
      </c>
      <c r="C710" s="3" t="s">
        <v>1824</v>
      </c>
      <c r="D710" t="s">
        <v>939</v>
      </c>
      <c r="E710" t="s">
        <v>1457</v>
      </c>
      <c r="F710" t="s">
        <v>1825</v>
      </c>
    </row>
    <row r="711" spans="1:6" x14ac:dyDescent="0.55000000000000004">
      <c r="A711" s="4" t="str">
        <f>GUIDE[[#This Row],[SITE]]&amp;"-"&amp;GUIDE[[#This Row],[TVGID]]</f>
        <v>visionplus.id-DreamWorksChannelAsia.us@SD</v>
      </c>
      <c r="B711" t="s">
        <v>919</v>
      </c>
      <c r="C711" s="3" t="s">
        <v>1826</v>
      </c>
      <c r="D711" t="s">
        <v>939</v>
      </c>
      <c r="E711" t="s">
        <v>564</v>
      </c>
      <c r="F711" t="s">
        <v>1827</v>
      </c>
    </row>
    <row r="712" spans="1:6" x14ac:dyDescent="0.55000000000000004">
      <c r="A712" s="4" t="str">
        <f>GUIDE[[#This Row],[SITE]]&amp;"-"&amp;GUIDE[[#This Row],[TVGID]]</f>
        <v>visionplus.id-DW.de@English</v>
      </c>
      <c r="B712" t="s">
        <v>919</v>
      </c>
      <c r="C712" s="3" t="s">
        <v>1828</v>
      </c>
      <c r="D712" t="s">
        <v>939</v>
      </c>
      <c r="E712" t="s">
        <v>376</v>
      </c>
      <c r="F712" t="s">
        <v>1829</v>
      </c>
    </row>
    <row r="713" spans="1:6" x14ac:dyDescent="0.55000000000000004">
      <c r="A713" s="4" t="str">
        <f>GUIDE[[#This Row],[SITE]]&amp;"-"&amp;GUIDE[[#This Row],[TVGID]]</f>
        <v>visionplus.id-Entertainment.id@SD</v>
      </c>
      <c r="B713" t="s">
        <v>919</v>
      </c>
      <c r="C713" s="3" t="s">
        <v>1830</v>
      </c>
      <c r="D713" t="s">
        <v>939</v>
      </c>
      <c r="E713" t="s">
        <v>1294</v>
      </c>
      <c r="F713" t="s">
        <v>32</v>
      </c>
    </row>
    <row r="714" spans="1:6" x14ac:dyDescent="0.55000000000000004">
      <c r="A714" s="4" t="str">
        <f>GUIDE[[#This Row],[SITE]]&amp;"-"&amp;GUIDE[[#This Row],[TVGID]]</f>
        <v>visionplus.id-EuronewsEnglish.fr@SD</v>
      </c>
      <c r="B714" t="s">
        <v>919</v>
      </c>
      <c r="C714" s="3" t="s">
        <v>1831</v>
      </c>
      <c r="D714" t="s">
        <v>939</v>
      </c>
      <c r="E714" t="s">
        <v>625</v>
      </c>
      <c r="F714" t="s">
        <v>1296</v>
      </c>
    </row>
    <row r="715" spans="1:6" x14ac:dyDescent="0.55000000000000004">
      <c r="A715" s="4" t="str">
        <f>GUIDE[[#This Row],[SITE]]&amp;"-"&amp;GUIDE[[#This Row],[TVGID]]</f>
        <v>visionplus.id-EWTN.us@AsiaPacific</v>
      </c>
      <c r="B715" t="s">
        <v>919</v>
      </c>
      <c r="C715" s="3" t="s">
        <v>1832</v>
      </c>
      <c r="D715" t="s">
        <v>939</v>
      </c>
      <c r="E715" t="s">
        <v>1833</v>
      </c>
      <c r="F715" t="s">
        <v>1834</v>
      </c>
    </row>
    <row r="716" spans="1:6" x14ac:dyDescent="0.55000000000000004">
      <c r="A716" s="4" t="str">
        <f>GUIDE[[#This Row],[SITE]]&amp;"-"&amp;GUIDE[[#This Row],[TVGID]]</f>
        <v>visionplus.id-FightSports.us@SD</v>
      </c>
      <c r="B716" t="s">
        <v>919</v>
      </c>
      <c r="C716" s="3" t="s">
        <v>1835</v>
      </c>
      <c r="D716" t="s">
        <v>939</v>
      </c>
      <c r="E716" t="s">
        <v>616</v>
      </c>
      <c r="F716" t="s">
        <v>745</v>
      </c>
    </row>
    <row r="717" spans="1:6" x14ac:dyDescent="0.55000000000000004">
      <c r="A717" s="4" t="str">
        <f>GUIDE[[#This Row],[SITE]]&amp;"-"&amp;GUIDE[[#This Row],[TVGID]]</f>
        <v>visionplus.id-FoxNewsChannel.us@SD</v>
      </c>
      <c r="B717" t="s">
        <v>919</v>
      </c>
      <c r="C717" s="3" t="s">
        <v>1836</v>
      </c>
      <c r="D717" t="s">
        <v>939</v>
      </c>
      <c r="E717" t="s">
        <v>1299</v>
      </c>
      <c r="F717" t="s">
        <v>1300</v>
      </c>
    </row>
    <row r="718" spans="1:6" x14ac:dyDescent="0.55000000000000004">
      <c r="A718" s="4" t="str">
        <f>GUIDE[[#This Row],[SITE]]&amp;"-"&amp;GUIDE[[#This Row],[TVGID]]</f>
        <v>visionplus.id-France24.fr@English</v>
      </c>
      <c r="B718" t="s">
        <v>919</v>
      </c>
      <c r="C718" s="3" t="s">
        <v>1837</v>
      </c>
      <c r="D718" t="s">
        <v>939</v>
      </c>
      <c r="E718" t="s">
        <v>375</v>
      </c>
      <c r="F718" t="s">
        <v>78</v>
      </c>
    </row>
    <row r="719" spans="1:6" x14ac:dyDescent="0.55000000000000004">
      <c r="A719" s="4" t="str">
        <f>GUIDE[[#This Row],[SITE]]&amp;"-"&amp;GUIDE[[#This Row],[TVGID]]</f>
        <v>visionplus.id-FTV.tw@SD</v>
      </c>
      <c r="B719" t="s">
        <v>919</v>
      </c>
      <c r="C719" s="3" t="s">
        <v>1838</v>
      </c>
      <c r="D719" t="s">
        <v>939</v>
      </c>
      <c r="E719" t="s">
        <v>1839</v>
      </c>
      <c r="F719" t="s">
        <v>1840</v>
      </c>
    </row>
    <row r="720" spans="1:6" x14ac:dyDescent="0.55000000000000004">
      <c r="A720" s="4" t="str">
        <f>GUIDE[[#This Row],[SITE]]&amp;"-"&amp;GUIDE[[#This Row],[TVGID]]</f>
        <v>visionplus.id-Galaxy.id@SD</v>
      </c>
      <c r="B720" t="s">
        <v>919</v>
      </c>
      <c r="C720" s="3" t="s">
        <v>1841</v>
      </c>
      <c r="D720" t="s">
        <v>939</v>
      </c>
      <c r="E720" t="s">
        <v>609</v>
      </c>
      <c r="F720" t="s">
        <v>1842</v>
      </c>
    </row>
    <row r="721" spans="1:6" x14ac:dyDescent="0.55000000000000004">
      <c r="A721" s="4" t="str">
        <f>GUIDE[[#This Row],[SITE]]&amp;"-"&amp;GUIDE[[#This Row],[TVGID]]</f>
        <v>visionplus.id-GalaxyPremium.id@SD</v>
      </c>
      <c r="B721" t="s">
        <v>919</v>
      </c>
      <c r="C721" s="3" t="s">
        <v>1843</v>
      </c>
      <c r="D721" t="s">
        <v>939</v>
      </c>
      <c r="E721" t="s">
        <v>613</v>
      </c>
      <c r="F721" t="s">
        <v>1844</v>
      </c>
    </row>
    <row r="722" spans="1:6" x14ac:dyDescent="0.55000000000000004">
      <c r="A722" s="4" t="str">
        <f>GUIDE[[#This Row],[SITE]]&amp;"-"&amp;GUIDE[[#This Row],[TVGID]]</f>
        <v>visionplus.id-GlobalTrekker.sg@SD</v>
      </c>
      <c r="B722" t="s">
        <v>919</v>
      </c>
      <c r="C722" s="3" t="s">
        <v>1845</v>
      </c>
      <c r="D722" t="s">
        <v>939</v>
      </c>
      <c r="E722" t="s">
        <v>1304</v>
      </c>
      <c r="F722" t="s">
        <v>1305</v>
      </c>
    </row>
    <row r="723" spans="1:6" x14ac:dyDescent="0.55000000000000004">
      <c r="A723" s="4" t="str">
        <f>GUIDE[[#This Row],[SITE]]&amp;"-"&amp;GUIDE[[#This Row],[TVGID]]</f>
        <v>visionplus.id-GTV.id@SD</v>
      </c>
      <c r="B723" t="s">
        <v>919</v>
      </c>
      <c r="C723" s="3" t="s">
        <v>1846</v>
      </c>
      <c r="D723" t="s">
        <v>939</v>
      </c>
      <c r="E723" t="s">
        <v>640</v>
      </c>
      <c r="F723" t="s">
        <v>498</v>
      </c>
    </row>
    <row r="724" spans="1:6" x14ac:dyDescent="0.55000000000000004">
      <c r="A724" s="4" t="str">
        <f>GUIDE[[#This Row],[SITE]]&amp;"-"&amp;GUIDE[[#This Row],[TVGID]]</f>
        <v>visionplus.id-HistoryAsia.us@SD</v>
      </c>
      <c r="B724" t="s">
        <v>919</v>
      </c>
      <c r="C724" s="3" t="s">
        <v>1847</v>
      </c>
      <c r="D724" t="s">
        <v>939</v>
      </c>
      <c r="E724" t="s">
        <v>556</v>
      </c>
      <c r="F724" t="s">
        <v>162</v>
      </c>
    </row>
    <row r="725" spans="1:6" x14ac:dyDescent="0.55000000000000004">
      <c r="A725" s="4" t="str">
        <f>GUIDE[[#This Row],[SITE]]&amp;"-"&amp;GUIDE[[#This Row],[TVGID]]</f>
        <v>visionplus.id-HITS.sg@SD</v>
      </c>
      <c r="B725" t="s">
        <v>919</v>
      </c>
      <c r="C725" s="3" t="s">
        <v>1848</v>
      </c>
      <c r="D725" t="s">
        <v>939</v>
      </c>
      <c r="E725" t="s">
        <v>580</v>
      </c>
      <c r="F725" t="s">
        <v>112</v>
      </c>
    </row>
    <row r="726" spans="1:6" x14ac:dyDescent="0.55000000000000004">
      <c r="A726" s="4" t="str">
        <f>GUIDE[[#This Row],[SITE]]&amp;"-"&amp;GUIDE[[#This Row],[TVGID]]</f>
        <v>visionplus.id-HITSMovies.sg@SD</v>
      </c>
      <c r="B726" t="s">
        <v>919</v>
      </c>
      <c r="C726" s="3" t="s">
        <v>1849</v>
      </c>
      <c r="D726" t="s">
        <v>939</v>
      </c>
      <c r="E726" t="s">
        <v>603</v>
      </c>
      <c r="F726" t="s">
        <v>1850</v>
      </c>
    </row>
    <row r="727" spans="1:6" x14ac:dyDescent="0.55000000000000004">
      <c r="A727" s="4" t="str">
        <f>GUIDE[[#This Row],[SITE]]&amp;"-"&amp;GUIDE[[#This Row],[TVGID]]</f>
        <v>visionplus.id-HITSNOW.sg@SD</v>
      </c>
      <c r="B727" t="s">
        <v>919</v>
      </c>
      <c r="C727" s="3" t="s">
        <v>1851</v>
      </c>
      <c r="D727" t="s">
        <v>939</v>
      </c>
      <c r="E727" t="s">
        <v>642</v>
      </c>
      <c r="F727" t="s">
        <v>114</v>
      </c>
    </row>
    <row r="728" spans="1:6" x14ac:dyDescent="0.55000000000000004">
      <c r="A728" s="4" t="str">
        <f>GUIDE[[#This Row],[SITE]]&amp;"-"&amp;GUIDE[[#This Row],[TVGID]]</f>
        <v>visionplus.id-HunanTV.cn@SD</v>
      </c>
      <c r="B728" t="s">
        <v>919</v>
      </c>
      <c r="C728" s="3" t="s">
        <v>1852</v>
      </c>
      <c r="D728" t="s">
        <v>939</v>
      </c>
      <c r="E728" t="s">
        <v>1853</v>
      </c>
      <c r="F728" t="s">
        <v>1854</v>
      </c>
    </row>
    <row r="729" spans="1:6" x14ac:dyDescent="0.55000000000000004">
      <c r="A729" s="4" t="str">
        <f>GUIDE[[#This Row],[SITE]]&amp;"-"&amp;GUIDE[[#This Row],[TVGID]]</f>
        <v>visionplus.id-IDXChannel.id@SD</v>
      </c>
      <c r="B729" t="s">
        <v>919</v>
      </c>
      <c r="C729" s="3" t="s">
        <v>1855</v>
      </c>
      <c r="D729" t="s">
        <v>939</v>
      </c>
      <c r="E729" t="s">
        <v>539</v>
      </c>
      <c r="F729" t="s">
        <v>39</v>
      </c>
    </row>
    <row r="730" spans="1:6" x14ac:dyDescent="0.55000000000000004">
      <c r="A730" s="4" t="str">
        <f>GUIDE[[#This Row],[SITE]]&amp;"-"&amp;GUIDE[[#This Row],[TVGID]]</f>
        <v>visionplus.id-IMC.id@SD</v>
      </c>
      <c r="B730" t="s">
        <v>919</v>
      </c>
      <c r="C730" s="3" t="s">
        <v>1856</v>
      </c>
      <c r="D730" t="s">
        <v>939</v>
      </c>
      <c r="E730" t="s">
        <v>612</v>
      </c>
      <c r="F730" t="s">
        <v>1857</v>
      </c>
    </row>
    <row r="731" spans="1:6" x14ac:dyDescent="0.55000000000000004">
      <c r="A731" s="4" t="str">
        <f>GUIDE[[#This Row],[SITE]]&amp;"-"&amp;GUIDE[[#This Row],[TVGID]]</f>
        <v>visionplus.id-Indosiar.id@SD</v>
      </c>
      <c r="B731" t="s">
        <v>919</v>
      </c>
      <c r="C731" s="3" t="s">
        <v>1858</v>
      </c>
      <c r="D731" t="s">
        <v>939</v>
      </c>
      <c r="E731" t="s">
        <v>532</v>
      </c>
      <c r="F731" t="s">
        <v>84</v>
      </c>
    </row>
    <row r="732" spans="1:6" x14ac:dyDescent="0.55000000000000004">
      <c r="A732" s="4" t="str">
        <f>GUIDE[[#This Row],[SITE]]&amp;"-"&amp;GUIDE[[#This Row],[TVGID]]</f>
        <v>visionplus.id-iNews.id@SD</v>
      </c>
      <c r="B732" t="s">
        <v>919</v>
      </c>
      <c r="C732" s="3" t="s">
        <v>1859</v>
      </c>
      <c r="D732" t="s">
        <v>939</v>
      </c>
      <c r="E732" t="s">
        <v>916</v>
      </c>
      <c r="F732" t="s">
        <v>90</v>
      </c>
    </row>
    <row r="733" spans="1:6" x14ac:dyDescent="0.55000000000000004">
      <c r="A733" s="4" t="str">
        <f>GUIDE[[#This Row],[SITE]]&amp;"-"&amp;GUIDE[[#This Row],[TVGID]]</f>
        <v>visionplus.id-JakTV.id@SD</v>
      </c>
      <c r="B733" t="s">
        <v>919</v>
      </c>
      <c r="C733" s="3" t="s">
        <v>1860</v>
      </c>
      <c r="D733" t="s">
        <v>939</v>
      </c>
      <c r="E733" t="s">
        <v>536</v>
      </c>
      <c r="F733" t="s">
        <v>773</v>
      </c>
    </row>
    <row r="734" spans="1:6" x14ac:dyDescent="0.55000000000000004">
      <c r="A734" s="4" t="str">
        <f>GUIDE[[#This Row],[SITE]]&amp;"-"&amp;GUIDE[[#This Row],[TVGID]]</f>
        <v>visionplus.id-JiangsuTV.cn@SD</v>
      </c>
      <c r="B734" t="s">
        <v>919</v>
      </c>
      <c r="C734" s="3" t="s">
        <v>1861</v>
      </c>
      <c r="D734" t="s">
        <v>939</v>
      </c>
      <c r="E734" t="s">
        <v>1862</v>
      </c>
      <c r="F734" t="s">
        <v>1863</v>
      </c>
    </row>
    <row r="735" spans="1:6" x14ac:dyDescent="0.55000000000000004">
      <c r="A735" s="4" t="str">
        <f>GUIDE[[#This Row],[SITE]]&amp;"-"&amp;GUIDE[[#This Row],[TVGID]]</f>
        <v>visionplus.id-JTV.id@SD</v>
      </c>
      <c r="B735" t="s">
        <v>919</v>
      </c>
      <c r="C735" s="3" t="s">
        <v>1864</v>
      </c>
      <c r="D735" t="s">
        <v>939</v>
      </c>
      <c r="E735" t="s">
        <v>543</v>
      </c>
      <c r="F735" t="s">
        <v>102</v>
      </c>
    </row>
    <row r="736" spans="1:6" x14ac:dyDescent="0.55000000000000004">
      <c r="A736" s="4" t="str">
        <f>GUIDE[[#This Row],[SITE]]&amp;"-"&amp;GUIDE[[#This Row],[TVGID]]</f>
        <v>visionplus.id-KidsTV.id@SD</v>
      </c>
      <c r="B736" t="s">
        <v>919</v>
      </c>
      <c r="C736" s="3" t="s">
        <v>1865</v>
      </c>
      <c r="D736" t="s">
        <v>939</v>
      </c>
      <c r="E736" t="s">
        <v>1318</v>
      </c>
      <c r="F736" t="s">
        <v>1319</v>
      </c>
    </row>
    <row r="737" spans="1:6" x14ac:dyDescent="0.55000000000000004">
      <c r="A737" s="4" t="str">
        <f>GUIDE[[#This Row],[SITE]]&amp;"-"&amp;GUIDE[[#This Row],[TVGID]]</f>
        <v>visionplus.id-KIX.hk@SD</v>
      </c>
      <c r="B737" t="s">
        <v>919</v>
      </c>
      <c r="C737" s="3" t="s">
        <v>1866</v>
      </c>
      <c r="D737" t="s">
        <v>939</v>
      </c>
      <c r="E737" t="s">
        <v>579</v>
      </c>
      <c r="F737" t="s">
        <v>117</v>
      </c>
    </row>
    <row r="738" spans="1:6" x14ac:dyDescent="0.55000000000000004">
      <c r="A738" s="4" t="str">
        <f>GUIDE[[#This Row],[SITE]]&amp;"-"&amp;GUIDE[[#This Row],[TVGID]]</f>
        <v>visionplus.id-KompasTV.id@SD</v>
      </c>
      <c r="B738" t="s">
        <v>919</v>
      </c>
      <c r="C738" s="3" t="s">
        <v>1867</v>
      </c>
      <c r="D738" t="s">
        <v>939</v>
      </c>
      <c r="E738" t="s">
        <v>534</v>
      </c>
      <c r="F738" t="s">
        <v>85</v>
      </c>
    </row>
    <row r="739" spans="1:6" x14ac:dyDescent="0.55000000000000004">
      <c r="A739" s="4" t="str">
        <f>GUIDE[[#This Row],[SITE]]&amp;"-"&amp;GUIDE[[#This Row],[TVGID]]</f>
        <v>visionplus.id-Life.id@SD</v>
      </c>
      <c r="B739" t="s">
        <v>919</v>
      </c>
      <c r="C739" s="3" t="s">
        <v>1868</v>
      </c>
      <c r="D739" t="s">
        <v>939</v>
      </c>
      <c r="E739" t="s">
        <v>1323</v>
      </c>
      <c r="F739" t="s">
        <v>1324</v>
      </c>
    </row>
    <row r="740" spans="1:6" x14ac:dyDescent="0.55000000000000004">
      <c r="A740" s="4" t="str">
        <f>GUIDE[[#This Row],[SITE]]&amp;"-"&amp;GUIDE[[#This Row],[TVGID]]</f>
        <v>visionplus.id-LifetimeAsia.us@SD</v>
      </c>
      <c r="B740" t="s">
        <v>919</v>
      </c>
      <c r="C740" s="3" t="s">
        <v>1869</v>
      </c>
      <c r="D740" t="s">
        <v>939</v>
      </c>
      <c r="E740" t="s">
        <v>578</v>
      </c>
      <c r="F740" t="s">
        <v>58</v>
      </c>
    </row>
    <row r="741" spans="1:6" x14ac:dyDescent="0.55000000000000004">
      <c r="A741" s="4" t="str">
        <f>GUIDE[[#This Row],[SITE]]&amp;"-"&amp;GUIDE[[#This Row],[TVGID]]</f>
        <v>visionplus.id-LoveNature.ca@SD</v>
      </c>
      <c r="B741" t="s">
        <v>919</v>
      </c>
      <c r="C741" s="3" t="s">
        <v>1870</v>
      </c>
      <c r="D741" t="s">
        <v>939</v>
      </c>
      <c r="E741" t="s">
        <v>559</v>
      </c>
      <c r="F741" t="s">
        <v>298</v>
      </c>
    </row>
    <row r="742" spans="1:6" x14ac:dyDescent="0.55000000000000004">
      <c r="A742" s="4" t="str">
        <f>GUIDE[[#This Row],[SITE]]&amp;"-"&amp;GUIDE[[#This Row],[TVGID]]</f>
        <v>visionplus.id-MDTV.id@HD</v>
      </c>
      <c r="B742" t="s">
        <v>919</v>
      </c>
      <c r="C742" s="3" t="s">
        <v>1871</v>
      </c>
      <c r="D742" t="s">
        <v>939</v>
      </c>
      <c r="E742" t="s">
        <v>924</v>
      </c>
      <c r="F742" t="s">
        <v>366</v>
      </c>
    </row>
    <row r="743" spans="1:6" x14ac:dyDescent="0.55000000000000004">
      <c r="A743" s="4" t="str">
        <f>GUIDE[[#This Row],[SITE]]&amp;"-"&amp;GUIDE[[#This Row],[TVGID]]</f>
        <v>visionplus.id-MentariTV.id@SD</v>
      </c>
      <c r="B743" t="s">
        <v>919</v>
      </c>
      <c r="C743" s="3" t="s">
        <v>1872</v>
      </c>
      <c r="D743" t="s">
        <v>939</v>
      </c>
      <c r="E743" t="s">
        <v>568</v>
      </c>
      <c r="F743" t="s">
        <v>88</v>
      </c>
    </row>
    <row r="744" spans="1:6" x14ac:dyDescent="0.55000000000000004">
      <c r="A744" s="4" t="str">
        <f>GUIDE[[#This Row],[SITE]]&amp;"-"&amp;GUIDE[[#This Row],[TVGID]]</f>
        <v>visionplus.id-MetroTV.id@SD</v>
      </c>
      <c r="B744" t="s">
        <v>919</v>
      </c>
      <c r="C744" s="3" t="s">
        <v>1873</v>
      </c>
      <c r="D744" t="s">
        <v>939</v>
      </c>
      <c r="E744" t="s">
        <v>523</v>
      </c>
      <c r="F744" t="s">
        <v>34</v>
      </c>
    </row>
    <row r="745" spans="1:6" x14ac:dyDescent="0.55000000000000004">
      <c r="A745" s="4" t="str">
        <f>GUIDE[[#This Row],[SITE]]&amp;"-"&amp;GUIDE[[#This Row],[TVGID]]</f>
        <v>visionplus.id-MNCTV.id@SD</v>
      </c>
      <c r="B745" t="s">
        <v>919</v>
      </c>
      <c r="C745" s="3" t="s">
        <v>1874</v>
      </c>
      <c r="D745" t="s">
        <v>939</v>
      </c>
      <c r="E745" t="s">
        <v>649</v>
      </c>
      <c r="F745" t="s">
        <v>1330</v>
      </c>
    </row>
    <row r="746" spans="1:6" x14ac:dyDescent="0.55000000000000004">
      <c r="A746" s="4" t="str">
        <f>GUIDE[[#This Row],[SITE]]&amp;"-"&amp;GUIDE[[#This Row],[TVGID]]</f>
        <v>visionplus.id-Moji.id@SD</v>
      </c>
      <c r="B746" t="s">
        <v>919</v>
      </c>
      <c r="C746" s="3" t="s">
        <v>1875</v>
      </c>
      <c r="D746" t="s">
        <v>939</v>
      </c>
      <c r="E746" t="s">
        <v>545</v>
      </c>
      <c r="F746" t="s">
        <v>803</v>
      </c>
    </row>
    <row r="747" spans="1:6" x14ac:dyDescent="0.55000000000000004">
      <c r="A747" s="4" t="str">
        <f>GUIDE[[#This Row],[SITE]]&amp;"-"&amp;GUIDE[[#This Row],[TVGID]]</f>
        <v>visionplus.id-MoonbugKids.uk@SD</v>
      </c>
      <c r="B747" t="s">
        <v>919</v>
      </c>
      <c r="C747" s="3" t="s">
        <v>1876</v>
      </c>
      <c r="D747" t="s">
        <v>939</v>
      </c>
      <c r="E747" t="s">
        <v>658</v>
      </c>
      <c r="F747" t="s">
        <v>314</v>
      </c>
    </row>
    <row r="748" spans="1:6" x14ac:dyDescent="0.55000000000000004">
      <c r="A748" s="4" t="str">
        <f>GUIDE[[#This Row],[SITE]]&amp;"-"&amp;GUIDE[[#This Row],[TVGID]]</f>
        <v>visionplus.id-MusicTV.id@SD</v>
      </c>
      <c r="B748" t="s">
        <v>919</v>
      </c>
      <c r="C748" s="3" t="s">
        <v>1877</v>
      </c>
      <c r="D748" t="s">
        <v>939</v>
      </c>
      <c r="E748" t="s">
        <v>1333</v>
      </c>
      <c r="F748" t="s">
        <v>1334</v>
      </c>
    </row>
    <row r="749" spans="1:6" x14ac:dyDescent="0.55000000000000004">
      <c r="A749" s="4" t="str">
        <f>GUIDE[[#This Row],[SITE]]&amp;"-"&amp;GUIDE[[#This Row],[TVGID]]</f>
        <v>visionplus.id-MuslimTV.id@SD</v>
      </c>
      <c r="B749" t="s">
        <v>919</v>
      </c>
      <c r="C749" s="3" t="s">
        <v>1878</v>
      </c>
      <c r="D749" t="s">
        <v>939</v>
      </c>
      <c r="E749" t="s">
        <v>1335</v>
      </c>
      <c r="F749" t="s">
        <v>1336</v>
      </c>
    </row>
    <row r="750" spans="1:6" x14ac:dyDescent="0.55000000000000004">
      <c r="A750" s="4" t="str">
        <f>GUIDE[[#This Row],[SITE]]&amp;"-"&amp;GUIDE[[#This Row],[TVGID]]</f>
        <v>visionplus.id-NHKWorldJapan.jp@SD</v>
      </c>
      <c r="B750" t="s">
        <v>919</v>
      </c>
      <c r="C750" s="3" t="s">
        <v>1879</v>
      </c>
      <c r="D750" t="s">
        <v>939</v>
      </c>
      <c r="E750" t="s">
        <v>628</v>
      </c>
      <c r="F750" t="s">
        <v>1880</v>
      </c>
    </row>
    <row r="751" spans="1:6" x14ac:dyDescent="0.55000000000000004">
      <c r="A751" s="4" t="str">
        <f>GUIDE[[#This Row],[SITE]]&amp;"-"&amp;GUIDE[[#This Row],[TVGID]]</f>
        <v>visionplus.id-NHKWorldPremium.jp@SD</v>
      </c>
      <c r="B751" t="s">
        <v>919</v>
      </c>
      <c r="C751" s="3" t="s">
        <v>1881</v>
      </c>
      <c r="D751" t="s">
        <v>939</v>
      </c>
      <c r="E751" t="s">
        <v>587</v>
      </c>
      <c r="F751" t="s">
        <v>1001</v>
      </c>
    </row>
    <row r="752" spans="1:6" x14ac:dyDescent="0.55000000000000004">
      <c r="A752" s="4" t="str">
        <f>GUIDE[[#This Row],[SITE]]&amp;"-"&amp;GUIDE[[#This Row],[TVGID]]</f>
        <v>visionplus.id-NickelodeonAsia.sg@SD</v>
      </c>
      <c r="B752" t="s">
        <v>919</v>
      </c>
      <c r="C752" s="3" t="s">
        <v>1882</v>
      </c>
      <c r="D752" t="s">
        <v>939</v>
      </c>
      <c r="E752" t="s">
        <v>561</v>
      </c>
      <c r="F752" t="s">
        <v>1883</v>
      </c>
    </row>
    <row r="753" spans="1:6" x14ac:dyDescent="0.55000000000000004">
      <c r="A753" s="4" t="str">
        <f>GUIDE[[#This Row],[SITE]]&amp;"-"&amp;GUIDE[[#This Row],[TVGID]]</f>
        <v>visionplus.id-NickJrAsia.sg@SD</v>
      </c>
      <c r="B753" t="s">
        <v>919</v>
      </c>
      <c r="C753" s="3" t="s">
        <v>1884</v>
      </c>
      <c r="D753" t="s">
        <v>939</v>
      </c>
      <c r="E753" t="s">
        <v>562</v>
      </c>
      <c r="F753" t="s">
        <v>1885</v>
      </c>
    </row>
    <row r="754" spans="1:6" x14ac:dyDescent="0.55000000000000004">
      <c r="A754" s="4" t="str">
        <f>GUIDE[[#This Row],[SITE]]&amp;"-"&amp;GUIDE[[#This Row],[TVGID]]</f>
        <v>visionplus.id-OKTV.id@SD</v>
      </c>
      <c r="B754" t="s">
        <v>919</v>
      </c>
      <c r="C754" s="3" t="s">
        <v>1886</v>
      </c>
      <c r="D754" t="s">
        <v>939</v>
      </c>
      <c r="E754" t="s">
        <v>1347</v>
      </c>
      <c r="F754" t="s">
        <v>1887</v>
      </c>
    </row>
    <row r="755" spans="1:6" x14ac:dyDescent="0.55000000000000004">
      <c r="A755" s="4" t="str">
        <f>GUIDE[[#This Row],[SITE]]&amp;"-"&amp;GUIDE[[#This Row],[TVGID]]</f>
        <v>visionplus.id-ONE.sg@SD</v>
      </c>
      <c r="B755" t="s">
        <v>919</v>
      </c>
      <c r="C755" s="3" t="s">
        <v>1888</v>
      </c>
      <c r="D755" t="s">
        <v>939</v>
      </c>
      <c r="E755" t="s">
        <v>595</v>
      </c>
      <c r="F755" t="s">
        <v>1889</v>
      </c>
    </row>
    <row r="756" spans="1:6" x14ac:dyDescent="0.55000000000000004">
      <c r="A756" s="4" t="str">
        <f>GUIDE[[#This Row],[SITE]]&amp;"-"&amp;GUIDE[[#This Row],[TVGID]]</f>
        <v>visionplus.id-OutdoorChannel.us@SD</v>
      </c>
      <c r="B756" t="s">
        <v>919</v>
      </c>
      <c r="C756" s="3" t="s">
        <v>1890</v>
      </c>
      <c r="D756" t="s">
        <v>939</v>
      </c>
      <c r="E756" t="s">
        <v>1357</v>
      </c>
      <c r="F756" t="s">
        <v>1358</v>
      </c>
    </row>
    <row r="757" spans="1:6" x14ac:dyDescent="0.55000000000000004">
      <c r="A757" s="4" t="str">
        <f>GUIDE[[#This Row],[SITE]]&amp;"-"&amp;GUIDE[[#This Row],[TVGID]]</f>
        <v>visionplus.id-RajawaliTV.id@SD</v>
      </c>
      <c r="B757" t="s">
        <v>919</v>
      </c>
      <c r="C757" s="3" t="s">
        <v>1891</v>
      </c>
      <c r="D757" t="s">
        <v>939</v>
      </c>
      <c r="E757" t="s">
        <v>538</v>
      </c>
      <c r="F757" t="s">
        <v>834</v>
      </c>
    </row>
    <row r="758" spans="1:6" x14ac:dyDescent="0.55000000000000004">
      <c r="A758" s="4" t="str">
        <f>GUIDE[[#This Row],[SITE]]&amp;"-"&amp;GUIDE[[#This Row],[TVGID]]</f>
        <v>visionplus.id-RCTI.id@SD</v>
      </c>
      <c r="B758" t="s">
        <v>919</v>
      </c>
      <c r="C758" s="3" t="s">
        <v>1892</v>
      </c>
      <c r="D758" t="s">
        <v>939</v>
      </c>
      <c r="E758" t="s">
        <v>639</v>
      </c>
      <c r="F758" t="s">
        <v>511</v>
      </c>
    </row>
    <row r="759" spans="1:6" x14ac:dyDescent="0.55000000000000004">
      <c r="A759" s="4" t="str">
        <f>GUIDE[[#This Row],[SITE]]&amp;"-"&amp;GUIDE[[#This Row],[TVGID]]</f>
        <v>visionplus.id-Reformed21.id@SD</v>
      </c>
      <c r="B759" t="s">
        <v>919</v>
      </c>
      <c r="C759" s="3" t="s">
        <v>1893</v>
      </c>
      <c r="D759" t="s">
        <v>939</v>
      </c>
      <c r="E759" t="s">
        <v>1894</v>
      </c>
      <c r="F759" t="s">
        <v>1895</v>
      </c>
    </row>
    <row r="760" spans="1:6" x14ac:dyDescent="0.55000000000000004">
      <c r="A760" s="4" t="str">
        <f>GUIDE[[#This Row],[SITE]]&amp;"-"&amp;GUIDE[[#This Row],[TVGID]]</f>
        <v>visionplus.id-ROCKAction.sg@SD</v>
      </c>
      <c r="B760" t="s">
        <v>919</v>
      </c>
      <c r="C760" s="3" t="s">
        <v>1896</v>
      </c>
      <c r="D760" t="s">
        <v>939</v>
      </c>
      <c r="E760" t="s">
        <v>928</v>
      </c>
      <c r="F760" t="s">
        <v>56</v>
      </c>
    </row>
    <row r="761" spans="1:6" x14ac:dyDescent="0.55000000000000004">
      <c r="A761" s="4" t="str">
        <f>GUIDE[[#This Row],[SITE]]&amp;"-"&amp;GUIDE[[#This Row],[TVGID]]</f>
        <v>visionplus.id-ROCKEntertainment.sg@SD</v>
      </c>
      <c r="B761" t="s">
        <v>919</v>
      </c>
      <c r="C761" s="3" t="s">
        <v>1897</v>
      </c>
      <c r="D761" t="s">
        <v>939</v>
      </c>
      <c r="E761" t="s">
        <v>583</v>
      </c>
      <c r="F761" t="s">
        <v>60</v>
      </c>
    </row>
    <row r="762" spans="1:6" x14ac:dyDescent="0.55000000000000004">
      <c r="A762" s="4" t="str">
        <f>GUIDE[[#This Row],[SITE]]&amp;"-"&amp;GUIDE[[#This Row],[TVGID]]</f>
        <v>visionplus.id-RT.ru@SD</v>
      </c>
      <c r="B762" t="s">
        <v>919</v>
      </c>
      <c r="C762" s="3" t="s">
        <v>1898</v>
      </c>
      <c r="D762" t="s">
        <v>939</v>
      </c>
      <c r="E762" t="s">
        <v>654</v>
      </c>
      <c r="F762" t="s">
        <v>1610</v>
      </c>
    </row>
    <row r="763" spans="1:6" x14ac:dyDescent="0.55000000000000004">
      <c r="A763" s="4" t="str">
        <f>GUIDE[[#This Row],[SITE]]&amp;"-"&amp;GUIDE[[#This Row],[TVGID]]</f>
        <v>visionplus.id-SCTV.id@SD</v>
      </c>
      <c r="B763" t="s">
        <v>919</v>
      </c>
      <c r="C763" s="3" t="s">
        <v>1899</v>
      </c>
      <c r="D763" t="s">
        <v>939</v>
      </c>
      <c r="E763" t="s">
        <v>530</v>
      </c>
      <c r="F763" t="s">
        <v>38</v>
      </c>
    </row>
    <row r="764" spans="1:6" x14ac:dyDescent="0.55000000000000004">
      <c r="A764" s="4" t="str">
        <f>GUIDE[[#This Row],[SITE]]&amp;"-"&amp;GUIDE[[#This Row],[TVGID]]</f>
        <v>visionplus.id-SETTaiwan.tw@SD</v>
      </c>
      <c r="B764" t="s">
        <v>919</v>
      </c>
      <c r="C764" s="3" t="s">
        <v>1900</v>
      </c>
      <c r="D764" t="s">
        <v>939</v>
      </c>
      <c r="E764" t="s">
        <v>1901</v>
      </c>
      <c r="F764" t="s">
        <v>1902</v>
      </c>
    </row>
    <row r="765" spans="1:6" x14ac:dyDescent="0.55000000000000004">
      <c r="A765" s="4" t="str">
        <f>GUIDE[[#This Row],[SITE]]&amp;"-"&amp;GUIDE[[#This Row],[TVGID]]</f>
        <v>visionplus.id-SindoNewsTV.id@SD</v>
      </c>
      <c r="B765" t="s">
        <v>919</v>
      </c>
      <c r="C765" s="3" t="s">
        <v>1903</v>
      </c>
      <c r="D765" t="s">
        <v>939</v>
      </c>
      <c r="E765" t="s">
        <v>549</v>
      </c>
      <c r="F765" t="s">
        <v>1904</v>
      </c>
    </row>
    <row r="766" spans="1:6" x14ac:dyDescent="0.55000000000000004">
      <c r="A766" s="4" t="str">
        <f>GUIDE[[#This Row],[SITE]]&amp;"-"&amp;GUIDE[[#This Row],[TVGID]]</f>
        <v>visionplus.id-SoccerChannel.id@SD</v>
      </c>
      <c r="B766" t="s">
        <v>919</v>
      </c>
      <c r="C766" s="3" t="s">
        <v>1905</v>
      </c>
      <c r="D766" t="s">
        <v>939</v>
      </c>
      <c r="E766" t="s">
        <v>1366</v>
      </c>
      <c r="F766" t="s">
        <v>1367</v>
      </c>
    </row>
    <row r="767" spans="1:6" x14ac:dyDescent="0.55000000000000004">
      <c r="A767" s="4" t="str">
        <f>GUIDE[[#This Row],[SITE]]&amp;"-"&amp;GUIDE[[#This Row],[TVGID]]</f>
        <v>visionplus.id-Sportstars.id@SD</v>
      </c>
      <c r="B767" t="s">
        <v>919</v>
      </c>
      <c r="C767" s="3" t="s">
        <v>1908</v>
      </c>
      <c r="D767" t="s">
        <v>939</v>
      </c>
      <c r="E767" t="s">
        <v>1375</v>
      </c>
      <c r="F767" t="s">
        <v>1376</v>
      </c>
    </row>
    <row r="768" spans="1:6" x14ac:dyDescent="0.55000000000000004">
      <c r="A768" s="4" t="str">
        <f>GUIDE[[#This Row],[SITE]]&amp;"-"&amp;GUIDE[[#This Row],[TVGID]]</f>
        <v>visionplus.id-Sportstars2.id@SD</v>
      </c>
      <c r="B768" t="s">
        <v>919</v>
      </c>
      <c r="C768" s="3" t="s">
        <v>1906</v>
      </c>
      <c r="D768" t="s">
        <v>939</v>
      </c>
      <c r="E768" t="s">
        <v>1368</v>
      </c>
      <c r="F768" t="s">
        <v>1369</v>
      </c>
    </row>
    <row r="769" spans="1:6" x14ac:dyDescent="0.55000000000000004">
      <c r="A769" s="4" t="str">
        <f>GUIDE[[#This Row],[SITE]]&amp;"-"&amp;GUIDE[[#This Row],[TVGID]]</f>
        <v>visionplus.id-Sportstars3.id@SD</v>
      </c>
      <c r="B769" t="s">
        <v>919</v>
      </c>
      <c r="C769" s="3" t="s">
        <v>1907</v>
      </c>
      <c r="D769" t="s">
        <v>939</v>
      </c>
      <c r="E769" t="s">
        <v>1371</v>
      </c>
      <c r="F769" t="s">
        <v>1374</v>
      </c>
    </row>
    <row r="770" spans="1:6" x14ac:dyDescent="0.55000000000000004">
      <c r="A770" s="4" t="str">
        <f>GUIDE[[#This Row],[SITE]]&amp;"-"&amp;GUIDE[[#This Row],[TVGID]]</f>
        <v>visionplus.id-SPOTV.id@SD</v>
      </c>
      <c r="B770" t="s">
        <v>919</v>
      </c>
      <c r="C770" s="3" t="s">
        <v>1911</v>
      </c>
      <c r="D770" t="s">
        <v>939</v>
      </c>
      <c r="E770" t="s">
        <v>614</v>
      </c>
      <c r="F770" t="s">
        <v>1912</v>
      </c>
    </row>
    <row r="771" spans="1:6" x14ac:dyDescent="0.55000000000000004">
      <c r="A771" s="4" t="str">
        <f>GUIDE[[#This Row],[SITE]]&amp;"-"&amp;GUIDE[[#This Row],[TVGID]]</f>
        <v>visionplus.id-SPOTV2.id@SD</v>
      </c>
      <c r="B771" t="s">
        <v>919</v>
      </c>
      <c r="C771" s="3" t="s">
        <v>1909</v>
      </c>
      <c r="D771" t="s">
        <v>939</v>
      </c>
      <c r="E771" t="s">
        <v>615</v>
      </c>
      <c r="F771" t="s">
        <v>1910</v>
      </c>
    </row>
    <row r="772" spans="1:6" x14ac:dyDescent="0.55000000000000004">
      <c r="A772" s="4" t="str">
        <f>GUIDE[[#This Row],[SITE]]&amp;"-"&amp;GUIDE[[#This Row],[TVGID]]</f>
        <v>visionplus.id-StudioUniversalLatinAmerica.us@Brazil</v>
      </c>
      <c r="B772" t="s">
        <v>919</v>
      </c>
      <c r="C772" s="3" t="s">
        <v>1913</v>
      </c>
      <c r="D772" t="s">
        <v>939</v>
      </c>
      <c r="E772" t="s">
        <v>377</v>
      </c>
      <c r="F772" t="s">
        <v>320</v>
      </c>
    </row>
    <row r="773" spans="1:6" x14ac:dyDescent="0.55000000000000004">
      <c r="A773" s="4" t="str">
        <f>GUIDE[[#This Row],[SITE]]&amp;"-"&amp;GUIDE[[#This Row],[TVGID]]</f>
        <v>visionplus.id-Thrill.hk@SD</v>
      </c>
      <c r="B773" t="s">
        <v>919</v>
      </c>
      <c r="C773" s="3" t="s">
        <v>1914</v>
      </c>
      <c r="D773" t="s">
        <v>939</v>
      </c>
      <c r="E773" t="s">
        <v>604</v>
      </c>
      <c r="F773" t="s">
        <v>70</v>
      </c>
    </row>
    <row r="774" spans="1:6" x14ac:dyDescent="0.55000000000000004">
      <c r="A774" s="4" t="str">
        <f>GUIDE[[#This Row],[SITE]]&amp;"-"&amp;GUIDE[[#This Row],[TVGID]]</f>
        <v>visionplus.id-Trans7.id@SD</v>
      </c>
      <c r="B774" t="s">
        <v>919</v>
      </c>
      <c r="C774" s="3" t="s">
        <v>1915</v>
      </c>
      <c r="D774" t="s">
        <v>939</v>
      </c>
      <c r="E774" t="s">
        <v>528</v>
      </c>
      <c r="F774" t="s">
        <v>1023</v>
      </c>
    </row>
    <row r="775" spans="1:6" x14ac:dyDescent="0.55000000000000004">
      <c r="A775" s="4" t="str">
        <f>GUIDE[[#This Row],[SITE]]&amp;"-"&amp;GUIDE[[#This Row],[TVGID]]</f>
        <v>visionplus.id-TransTV.id@SD</v>
      </c>
      <c r="B775" t="s">
        <v>919</v>
      </c>
      <c r="C775" s="3" t="s">
        <v>1916</v>
      </c>
      <c r="D775" t="s">
        <v>939</v>
      </c>
      <c r="E775" t="s">
        <v>527</v>
      </c>
      <c r="F775" t="s">
        <v>853</v>
      </c>
    </row>
    <row r="776" spans="1:6" x14ac:dyDescent="0.55000000000000004">
      <c r="A776" s="4" t="str">
        <f>GUIDE[[#This Row],[SITE]]&amp;"-"&amp;GUIDE[[#This Row],[TVGID]]</f>
        <v>visionplus.id-TRTWorld.tr@SD</v>
      </c>
      <c r="B776" t="s">
        <v>919</v>
      </c>
      <c r="C776" s="3" t="s">
        <v>1917</v>
      </c>
      <c r="D776" t="s">
        <v>939</v>
      </c>
      <c r="E776" t="s">
        <v>630</v>
      </c>
      <c r="F776" t="s">
        <v>95</v>
      </c>
    </row>
    <row r="777" spans="1:6" x14ac:dyDescent="0.55000000000000004">
      <c r="A777" s="4" t="str">
        <f>GUIDE[[#This Row],[SITE]]&amp;"-"&amp;GUIDE[[#This Row],[TVGID]]</f>
        <v>visionplus.id-TV5MondeAsia.fr@SD</v>
      </c>
      <c r="B777" t="s">
        <v>919</v>
      </c>
      <c r="C777" s="3" t="s">
        <v>1918</v>
      </c>
      <c r="D777" t="s">
        <v>939</v>
      </c>
      <c r="E777" t="s">
        <v>582</v>
      </c>
      <c r="F777" t="s">
        <v>133</v>
      </c>
    </row>
    <row r="778" spans="1:6" x14ac:dyDescent="0.55000000000000004">
      <c r="A778" s="4" t="str">
        <f>GUIDE[[#This Row],[SITE]]&amp;"-"&amp;GUIDE[[#This Row],[TVGID]]</f>
        <v>visionplus.id-TV9Nusantara.id@SD</v>
      </c>
      <c r="B778" t="s">
        <v>919</v>
      </c>
      <c r="C778" s="3" t="s">
        <v>1919</v>
      </c>
      <c r="D778" t="s">
        <v>939</v>
      </c>
      <c r="E778" t="s">
        <v>635</v>
      </c>
      <c r="F778" t="s">
        <v>1920</v>
      </c>
    </row>
    <row r="779" spans="1:6" x14ac:dyDescent="0.55000000000000004">
      <c r="A779" s="4" t="str">
        <f>GUIDE[[#This Row],[SITE]]&amp;"-"&amp;GUIDE[[#This Row],[TVGID]]</f>
        <v>visionplus.id-TVMu.id@SD</v>
      </c>
      <c r="B779" t="s">
        <v>919</v>
      </c>
      <c r="C779" s="3" t="s">
        <v>1921</v>
      </c>
      <c r="D779" t="s">
        <v>939</v>
      </c>
      <c r="E779" t="s">
        <v>636</v>
      </c>
      <c r="F779" t="s">
        <v>855</v>
      </c>
    </row>
    <row r="780" spans="1:6" x14ac:dyDescent="0.55000000000000004">
      <c r="A780" s="4" t="str">
        <f>GUIDE[[#This Row],[SITE]]&amp;"-"&amp;GUIDE[[#This Row],[TVGID]]</f>
        <v>visionplus.id-tvNAsia.hk@SD</v>
      </c>
      <c r="B780" t="s">
        <v>919</v>
      </c>
      <c r="C780" s="3" t="s">
        <v>1922</v>
      </c>
      <c r="D780" t="s">
        <v>939</v>
      </c>
      <c r="E780" t="s">
        <v>584</v>
      </c>
      <c r="F780" t="s">
        <v>135</v>
      </c>
    </row>
    <row r="781" spans="1:6" x14ac:dyDescent="0.55000000000000004">
      <c r="A781" s="4" t="str">
        <f>GUIDE[[#This Row],[SITE]]&amp;"-"&amp;GUIDE[[#This Row],[TVGID]]</f>
        <v>visionplus.id-tvNMoviesAsia.hk@SD</v>
      </c>
      <c r="B781" t="s">
        <v>919</v>
      </c>
      <c r="C781" s="3" t="s">
        <v>1923</v>
      </c>
      <c r="D781" t="s">
        <v>939</v>
      </c>
      <c r="E781" t="s">
        <v>606</v>
      </c>
      <c r="F781" t="s">
        <v>221</v>
      </c>
    </row>
    <row r="782" spans="1:6" x14ac:dyDescent="0.55000000000000004">
      <c r="A782" s="4" t="str">
        <f>GUIDE[[#This Row],[SITE]]&amp;"-"&amp;GUIDE[[#This Row],[TVGID]]</f>
        <v>visionplus.id-tvOne.id@SD</v>
      </c>
      <c r="B782" t="s">
        <v>919</v>
      </c>
      <c r="C782" s="3" t="s">
        <v>1924</v>
      </c>
      <c r="D782" t="s">
        <v>939</v>
      </c>
      <c r="E782" t="s">
        <v>526</v>
      </c>
      <c r="F782" t="s">
        <v>1034</v>
      </c>
    </row>
    <row r="783" spans="1:6" x14ac:dyDescent="0.55000000000000004">
      <c r="A783" s="4" t="str">
        <f>GUIDE[[#This Row],[SITE]]&amp;"-"&amp;GUIDE[[#This Row],[TVGID]]</f>
        <v>visionplus.id-TVRI.id@SD</v>
      </c>
      <c r="B783" t="s">
        <v>919</v>
      </c>
      <c r="C783" s="3" t="s">
        <v>1925</v>
      </c>
      <c r="D783" t="s">
        <v>939</v>
      </c>
      <c r="E783" t="s">
        <v>522</v>
      </c>
      <c r="F783" t="s">
        <v>83</v>
      </c>
    </row>
    <row r="784" spans="1:6" x14ac:dyDescent="0.55000000000000004">
      <c r="A784" s="4" t="str">
        <f>GUIDE[[#This Row],[SITE]]&amp;"-"&amp;GUIDE[[#This Row],[TVGID]]</f>
        <v>visionplus.id-VisionPrime.id@SD</v>
      </c>
      <c r="B784" t="s">
        <v>919</v>
      </c>
      <c r="C784" s="3" t="s">
        <v>1926</v>
      </c>
      <c r="D784" t="s">
        <v>939</v>
      </c>
      <c r="E784" t="s">
        <v>1393</v>
      </c>
      <c r="F784" t="s">
        <v>1394</v>
      </c>
    </row>
    <row r="785" spans="1:6" x14ac:dyDescent="0.55000000000000004">
      <c r="A785" s="4" t="str">
        <f>GUIDE[[#This Row],[SITE]]&amp;"-"&amp;GUIDE[[#This Row],[TVGID]]</f>
        <v>visionplus.id-XingKongChina.cn@SD</v>
      </c>
      <c r="B785" t="s">
        <v>919</v>
      </c>
      <c r="C785" s="3" t="s">
        <v>1927</v>
      </c>
      <c r="D785" t="s">
        <v>939</v>
      </c>
      <c r="E785" t="s">
        <v>1928</v>
      </c>
      <c r="F785" t="s">
        <v>1929</v>
      </c>
    </row>
    <row r="786" spans="1:6" x14ac:dyDescent="0.55000000000000004">
      <c r="A786" s="4" t="str">
        <f>GUIDE[[#This Row],[SITE]]&amp;"-"&amp;GUIDE[[#This Row],[TVGID]]</f>
        <v>visionplus.id-ZeeBioskop.id@SD</v>
      </c>
      <c r="B786" t="s">
        <v>919</v>
      </c>
      <c r="C786" s="3" t="s">
        <v>1930</v>
      </c>
      <c r="D786" t="s">
        <v>939</v>
      </c>
      <c r="E786" t="s">
        <v>607</v>
      </c>
      <c r="F786" t="s">
        <v>874</v>
      </c>
    </row>
    <row r="787" spans="1:6" x14ac:dyDescent="0.55000000000000004">
      <c r="A787" s="4" t="str">
        <f>GUIDE[[#This Row],[SITE]]&amp;"-"&amp;GUIDE[[#This Row],[TVGID]]</f>
        <v>visionplus.id-ZooMoo.sg@SD</v>
      </c>
      <c r="B787" t="s">
        <v>919</v>
      </c>
      <c r="C787" s="3" t="s">
        <v>1931</v>
      </c>
      <c r="D787" t="s">
        <v>939</v>
      </c>
      <c r="E787" t="s">
        <v>1396</v>
      </c>
      <c r="F787" t="s">
        <v>1932</v>
      </c>
    </row>
  </sheetData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26C7E-635C-4992-BD11-6E38E097A85F}">
  <sheetPr codeName="Sheet5"/>
  <dimension ref="A1:D150"/>
  <sheetViews>
    <sheetView workbookViewId="0"/>
  </sheetViews>
  <sheetFormatPr defaultRowHeight="14.4" x14ac:dyDescent="0.55000000000000004"/>
  <cols>
    <col min="1" max="1" width="17.68359375" bestFit="1" customWidth="1"/>
    <col min="2" max="2" width="19.5234375" bestFit="1" customWidth="1"/>
    <col min="3" max="3" width="21.734375" bestFit="1" customWidth="1"/>
    <col min="4" max="4" width="80.3125" bestFit="1" customWidth="1"/>
  </cols>
  <sheetData>
    <row r="1" spans="1:4" x14ac:dyDescent="0.55000000000000004">
      <c r="A1" t="s">
        <v>0</v>
      </c>
      <c r="B1" t="s">
        <v>9</v>
      </c>
      <c r="C1" t="s">
        <v>3</v>
      </c>
      <c r="D1" t="s">
        <v>2</v>
      </c>
    </row>
    <row r="2" spans="1:4" x14ac:dyDescent="0.55000000000000004">
      <c r="A2" s="6" t="s">
        <v>103</v>
      </c>
      <c r="B2" s="6" t="s">
        <v>96</v>
      </c>
      <c r="C2" s="6" t="s">
        <v>679</v>
      </c>
      <c r="D2" s="7" t="s">
        <v>680</v>
      </c>
    </row>
    <row r="3" spans="1:4" x14ac:dyDescent="0.55000000000000004">
      <c r="A3" s="6" t="s">
        <v>681</v>
      </c>
      <c r="B3" s="6" t="s">
        <v>681</v>
      </c>
      <c r="C3" s="6" t="s">
        <v>11</v>
      </c>
      <c r="D3" s="7" t="s">
        <v>682</v>
      </c>
    </row>
    <row r="4" spans="1:4" x14ac:dyDescent="0.55000000000000004">
      <c r="A4" s="6" t="s">
        <v>230</v>
      </c>
      <c r="B4" s="6" t="s">
        <v>683</v>
      </c>
      <c r="C4" s="6" t="s">
        <v>10</v>
      </c>
      <c r="D4" s="7" t="s">
        <v>684</v>
      </c>
    </row>
    <row r="5" spans="1:4" x14ac:dyDescent="0.55000000000000004">
      <c r="A5" s="6" t="s">
        <v>2232</v>
      </c>
      <c r="B5" s="6" t="s">
        <v>942</v>
      </c>
      <c r="C5" s="6" t="s">
        <v>733</v>
      </c>
      <c r="D5" s="7" t="s">
        <v>2233</v>
      </c>
    </row>
    <row r="6" spans="1:4" x14ac:dyDescent="0.55000000000000004">
      <c r="A6" s="6" t="s">
        <v>295</v>
      </c>
      <c r="B6" s="6" t="s">
        <v>296</v>
      </c>
      <c r="C6" s="6" t="s">
        <v>16</v>
      </c>
      <c r="D6" s="7" t="s">
        <v>685</v>
      </c>
    </row>
    <row r="7" spans="1:4" x14ac:dyDescent="0.55000000000000004">
      <c r="A7" s="6" t="s">
        <v>104</v>
      </c>
      <c r="B7" s="6" t="s">
        <v>57</v>
      </c>
      <c r="C7" s="6" t="s">
        <v>679</v>
      </c>
      <c r="D7" s="7" t="s">
        <v>686</v>
      </c>
    </row>
    <row r="8" spans="1:4" x14ac:dyDescent="0.55000000000000004">
      <c r="A8" s="6" t="s">
        <v>105</v>
      </c>
      <c r="B8" s="6" t="s">
        <v>62</v>
      </c>
      <c r="C8" s="6" t="s">
        <v>679</v>
      </c>
      <c r="D8" s="7" t="s">
        <v>687</v>
      </c>
    </row>
    <row r="9" spans="1:4" x14ac:dyDescent="0.55000000000000004">
      <c r="A9" s="6" t="s">
        <v>878</v>
      </c>
      <c r="B9" s="6" t="s">
        <v>688</v>
      </c>
      <c r="C9" s="6" t="s">
        <v>689</v>
      </c>
      <c r="D9" s="7" t="s">
        <v>690</v>
      </c>
    </row>
    <row r="10" spans="1:4" x14ac:dyDescent="0.55000000000000004">
      <c r="A10" s="6" t="s">
        <v>176</v>
      </c>
      <c r="B10" s="6" t="s">
        <v>89</v>
      </c>
      <c r="C10" s="6" t="s">
        <v>689</v>
      </c>
      <c r="D10" s="7" t="s">
        <v>691</v>
      </c>
    </row>
    <row r="11" spans="1:4" x14ac:dyDescent="0.55000000000000004">
      <c r="A11" s="6" t="s">
        <v>106</v>
      </c>
      <c r="B11" s="6" t="s">
        <v>94</v>
      </c>
      <c r="C11" s="6" t="s">
        <v>679</v>
      </c>
      <c r="D11" s="7" t="s">
        <v>692</v>
      </c>
    </row>
    <row r="12" spans="1:4" x14ac:dyDescent="0.55000000000000004">
      <c r="A12" s="6" t="s">
        <v>107</v>
      </c>
      <c r="B12" s="6" t="s">
        <v>59</v>
      </c>
      <c r="C12" s="6" t="s">
        <v>679</v>
      </c>
      <c r="D12" s="7" t="s">
        <v>693</v>
      </c>
    </row>
    <row r="13" spans="1:4" x14ac:dyDescent="0.55000000000000004">
      <c r="A13" s="6" t="s">
        <v>643</v>
      </c>
      <c r="B13" s="6" t="s">
        <v>644</v>
      </c>
      <c r="C13" s="6" t="s">
        <v>10</v>
      </c>
      <c r="D13" s="7" t="s">
        <v>694</v>
      </c>
    </row>
    <row r="14" spans="1:4" x14ac:dyDescent="0.55000000000000004">
      <c r="A14" s="6" t="s">
        <v>178</v>
      </c>
      <c r="B14" s="6" t="s">
        <v>695</v>
      </c>
      <c r="C14" s="6" t="s">
        <v>689</v>
      </c>
      <c r="D14" s="7" t="s">
        <v>696</v>
      </c>
    </row>
    <row r="15" spans="1:4" x14ac:dyDescent="0.55000000000000004">
      <c r="A15" s="6" t="s">
        <v>204</v>
      </c>
      <c r="B15" s="6" t="s">
        <v>72</v>
      </c>
      <c r="C15" s="6" t="s">
        <v>697</v>
      </c>
      <c r="D15" s="7" t="s">
        <v>698</v>
      </c>
    </row>
    <row r="16" spans="1:4" x14ac:dyDescent="0.55000000000000004">
      <c r="A16" s="6" t="s">
        <v>232</v>
      </c>
      <c r="B16" s="6" t="s">
        <v>699</v>
      </c>
      <c r="C16" s="6" t="s">
        <v>10</v>
      </c>
      <c r="D16" s="7" t="s">
        <v>700</v>
      </c>
    </row>
    <row r="17" spans="1:4" x14ac:dyDescent="0.55000000000000004">
      <c r="A17" s="6" t="s">
        <v>701</v>
      </c>
      <c r="B17" s="6" t="s">
        <v>86</v>
      </c>
      <c r="C17" s="6" t="s">
        <v>689</v>
      </c>
      <c r="D17" s="7" t="s">
        <v>702</v>
      </c>
    </row>
    <row r="18" spans="1:4" x14ac:dyDescent="0.55000000000000004">
      <c r="A18" s="6" t="s">
        <v>2234</v>
      </c>
      <c r="B18" s="6" t="s">
        <v>291</v>
      </c>
      <c r="C18" s="6" t="s">
        <v>21</v>
      </c>
      <c r="D18" s="7" t="s">
        <v>2235</v>
      </c>
    </row>
    <row r="19" spans="1:4" x14ac:dyDescent="0.55000000000000004">
      <c r="A19" s="6" t="s">
        <v>141</v>
      </c>
      <c r="B19" s="6" t="s">
        <v>52</v>
      </c>
      <c r="C19" s="6" t="s">
        <v>21</v>
      </c>
      <c r="D19" s="7" t="s">
        <v>2236</v>
      </c>
    </row>
    <row r="20" spans="1:4" x14ac:dyDescent="0.55000000000000004">
      <c r="A20" s="6" t="s">
        <v>646</v>
      </c>
      <c r="B20" s="6" t="s">
        <v>647</v>
      </c>
      <c r="C20" s="6" t="s">
        <v>21</v>
      </c>
      <c r="D20" s="7" t="s">
        <v>703</v>
      </c>
    </row>
    <row r="21" spans="1:4" x14ac:dyDescent="0.55000000000000004">
      <c r="A21" s="6" t="s">
        <v>108</v>
      </c>
      <c r="B21" s="6" t="s">
        <v>704</v>
      </c>
      <c r="C21" s="6" t="s">
        <v>679</v>
      </c>
      <c r="D21" s="7" t="s">
        <v>705</v>
      </c>
    </row>
    <row r="22" spans="1:4" x14ac:dyDescent="0.55000000000000004">
      <c r="A22" s="6" t="s">
        <v>879</v>
      </c>
      <c r="B22" s="6" t="s">
        <v>706</v>
      </c>
      <c r="C22" s="6" t="s">
        <v>697</v>
      </c>
      <c r="D22" s="7" t="s">
        <v>707</v>
      </c>
    </row>
    <row r="23" spans="1:4" x14ac:dyDescent="0.55000000000000004">
      <c r="A23" s="6" t="s">
        <v>708</v>
      </c>
      <c r="B23" s="6" t="s">
        <v>709</v>
      </c>
      <c r="C23" s="6" t="s">
        <v>10</v>
      </c>
      <c r="D23" s="7" t="s">
        <v>710</v>
      </c>
    </row>
    <row r="24" spans="1:4" x14ac:dyDescent="0.55000000000000004">
      <c r="A24" s="6" t="s">
        <v>157</v>
      </c>
      <c r="B24" s="6" t="s">
        <v>48</v>
      </c>
      <c r="C24" s="6" t="s">
        <v>16</v>
      </c>
      <c r="D24" s="7" t="s">
        <v>711</v>
      </c>
    </row>
    <row r="25" spans="1:4" x14ac:dyDescent="0.55000000000000004">
      <c r="A25" s="6" t="s">
        <v>2237</v>
      </c>
      <c r="B25" s="6" t="s">
        <v>2238</v>
      </c>
      <c r="C25" s="6" t="s">
        <v>689</v>
      </c>
      <c r="D25" s="7" t="s">
        <v>2239</v>
      </c>
    </row>
    <row r="26" spans="1:4" x14ac:dyDescent="0.55000000000000004">
      <c r="A26" s="6" t="s">
        <v>279</v>
      </c>
      <c r="B26" s="6" t="s">
        <v>65</v>
      </c>
      <c r="C26" s="6" t="s">
        <v>679</v>
      </c>
      <c r="D26" s="7" t="s">
        <v>712</v>
      </c>
    </row>
    <row r="27" spans="1:4" x14ac:dyDescent="0.55000000000000004">
      <c r="A27" s="6" t="s">
        <v>207</v>
      </c>
      <c r="B27" s="6" t="s">
        <v>713</v>
      </c>
      <c r="C27" s="6" t="s">
        <v>697</v>
      </c>
      <c r="D27" s="7" t="s">
        <v>714</v>
      </c>
    </row>
    <row r="28" spans="1:4" x14ac:dyDescent="0.55000000000000004">
      <c r="A28" s="6" t="s">
        <v>287</v>
      </c>
      <c r="B28" s="6" t="s">
        <v>98</v>
      </c>
      <c r="C28" s="6" t="s">
        <v>697</v>
      </c>
      <c r="D28" s="7" t="s">
        <v>715</v>
      </c>
    </row>
    <row r="29" spans="1:4" x14ac:dyDescent="0.55000000000000004">
      <c r="A29" s="6" t="s">
        <v>224</v>
      </c>
      <c r="B29" s="6" t="s">
        <v>92</v>
      </c>
      <c r="C29" s="6" t="s">
        <v>679</v>
      </c>
      <c r="D29" s="7" t="s">
        <v>716</v>
      </c>
    </row>
    <row r="30" spans="1:4" x14ac:dyDescent="0.55000000000000004">
      <c r="A30" s="6" t="s">
        <v>880</v>
      </c>
      <c r="B30" s="6" t="s">
        <v>311</v>
      </c>
      <c r="C30" s="6" t="s">
        <v>679</v>
      </c>
      <c r="D30" s="7" t="s">
        <v>717</v>
      </c>
    </row>
    <row r="31" spans="1:4" x14ac:dyDescent="0.55000000000000004">
      <c r="A31" s="6" t="s">
        <v>718</v>
      </c>
      <c r="B31" s="6" t="s">
        <v>719</v>
      </c>
      <c r="C31" s="6" t="s">
        <v>10</v>
      </c>
      <c r="D31" s="7" t="s">
        <v>720</v>
      </c>
    </row>
    <row r="32" spans="1:4" x14ac:dyDescent="0.55000000000000004">
      <c r="A32" s="6" t="s">
        <v>233</v>
      </c>
      <c r="B32" s="6" t="s">
        <v>97</v>
      </c>
      <c r="C32" s="6" t="s">
        <v>10</v>
      </c>
      <c r="D32" s="7" t="s">
        <v>721</v>
      </c>
    </row>
    <row r="33" spans="1:4" x14ac:dyDescent="0.55000000000000004">
      <c r="A33" s="6" t="s">
        <v>234</v>
      </c>
      <c r="B33" s="6" t="s">
        <v>79</v>
      </c>
      <c r="C33" s="6" t="s">
        <v>689</v>
      </c>
      <c r="D33" s="7" t="s">
        <v>722</v>
      </c>
    </row>
    <row r="34" spans="1:4" x14ac:dyDescent="0.55000000000000004">
      <c r="A34" s="6" t="s">
        <v>235</v>
      </c>
      <c r="B34" s="6" t="s">
        <v>35</v>
      </c>
      <c r="C34" s="6" t="s">
        <v>689</v>
      </c>
      <c r="D34" s="7" t="s">
        <v>723</v>
      </c>
    </row>
    <row r="35" spans="1:4" x14ac:dyDescent="0.55000000000000004">
      <c r="A35" s="6" t="s">
        <v>236</v>
      </c>
      <c r="B35" s="6" t="s">
        <v>237</v>
      </c>
      <c r="C35" s="6" t="s">
        <v>10</v>
      </c>
      <c r="D35" s="7" t="s">
        <v>724</v>
      </c>
    </row>
    <row r="36" spans="1:4" x14ac:dyDescent="0.55000000000000004">
      <c r="A36" s="6" t="s">
        <v>158</v>
      </c>
      <c r="B36" s="6" t="s">
        <v>159</v>
      </c>
      <c r="C36" s="6" t="s">
        <v>16</v>
      </c>
      <c r="D36" s="7" t="s">
        <v>725</v>
      </c>
    </row>
    <row r="37" spans="1:4" x14ac:dyDescent="0.55000000000000004">
      <c r="A37" s="6" t="s">
        <v>881</v>
      </c>
      <c r="B37" s="6" t="s">
        <v>726</v>
      </c>
      <c r="C37" s="6" t="s">
        <v>16</v>
      </c>
      <c r="D37" s="7" t="s">
        <v>727</v>
      </c>
    </row>
    <row r="38" spans="1:4" x14ac:dyDescent="0.55000000000000004">
      <c r="A38" s="6" t="s">
        <v>179</v>
      </c>
      <c r="B38" s="6" t="s">
        <v>729</v>
      </c>
      <c r="C38" s="6" t="s">
        <v>689</v>
      </c>
      <c r="D38" s="7" t="s">
        <v>730</v>
      </c>
    </row>
    <row r="39" spans="1:4" x14ac:dyDescent="0.55000000000000004">
      <c r="A39" s="6" t="s">
        <v>882</v>
      </c>
      <c r="B39" s="6" t="s">
        <v>143</v>
      </c>
      <c r="C39" s="6" t="s">
        <v>21</v>
      </c>
      <c r="D39" s="7" t="s">
        <v>728</v>
      </c>
    </row>
    <row r="40" spans="1:4" x14ac:dyDescent="0.55000000000000004">
      <c r="A40" s="6" t="s">
        <v>293</v>
      </c>
      <c r="B40" s="6" t="s">
        <v>294</v>
      </c>
      <c r="C40" s="6" t="s">
        <v>16</v>
      </c>
      <c r="D40" s="7" t="s">
        <v>731</v>
      </c>
    </row>
    <row r="41" spans="1:4" x14ac:dyDescent="0.55000000000000004">
      <c r="A41" s="6" t="s">
        <v>883</v>
      </c>
      <c r="B41" s="6" t="s">
        <v>49</v>
      </c>
      <c r="C41" s="6" t="s">
        <v>16</v>
      </c>
      <c r="D41" s="7" t="s">
        <v>732</v>
      </c>
    </row>
    <row r="42" spans="1:4" x14ac:dyDescent="0.55000000000000004">
      <c r="A42" s="6" t="s">
        <v>884</v>
      </c>
      <c r="B42" s="6" t="s">
        <v>371</v>
      </c>
      <c r="C42" s="6" t="s">
        <v>733</v>
      </c>
      <c r="D42" s="7" t="s">
        <v>734</v>
      </c>
    </row>
    <row r="43" spans="1:4" x14ac:dyDescent="0.55000000000000004">
      <c r="A43" s="6" t="s">
        <v>144</v>
      </c>
      <c r="B43" s="6" t="s">
        <v>735</v>
      </c>
      <c r="C43" s="6" t="s">
        <v>21</v>
      </c>
      <c r="D43" s="7" t="s">
        <v>736</v>
      </c>
    </row>
    <row r="44" spans="1:4" x14ac:dyDescent="0.55000000000000004">
      <c r="A44" s="6" t="s">
        <v>146</v>
      </c>
      <c r="B44" s="6" t="s">
        <v>737</v>
      </c>
      <c r="C44" s="6" t="s">
        <v>21</v>
      </c>
      <c r="D44" s="7" t="s">
        <v>738</v>
      </c>
    </row>
    <row r="45" spans="1:4" x14ac:dyDescent="0.55000000000000004">
      <c r="A45" s="6" t="s">
        <v>110</v>
      </c>
      <c r="B45" s="6" t="s">
        <v>63</v>
      </c>
      <c r="C45" s="6" t="s">
        <v>679</v>
      </c>
      <c r="D45" s="7" t="s">
        <v>739</v>
      </c>
    </row>
    <row r="46" spans="1:4" x14ac:dyDescent="0.55000000000000004">
      <c r="A46" s="6" t="s">
        <v>885</v>
      </c>
      <c r="B46" s="6" t="s">
        <v>740</v>
      </c>
      <c r="C46" s="6" t="s">
        <v>10</v>
      </c>
      <c r="D46" s="7" t="s">
        <v>741</v>
      </c>
    </row>
    <row r="47" spans="1:4" x14ac:dyDescent="0.55000000000000004">
      <c r="A47" s="6" t="s">
        <v>240</v>
      </c>
      <c r="B47" s="6" t="s">
        <v>77</v>
      </c>
      <c r="C47" s="6" t="s">
        <v>10</v>
      </c>
      <c r="D47" s="7" t="s">
        <v>742</v>
      </c>
    </row>
    <row r="48" spans="1:4" x14ac:dyDescent="0.55000000000000004">
      <c r="A48" s="6" t="s">
        <v>170</v>
      </c>
      <c r="B48" s="6" t="s">
        <v>743</v>
      </c>
      <c r="C48" s="6" t="s">
        <v>11</v>
      </c>
      <c r="D48" s="7" t="s">
        <v>744</v>
      </c>
    </row>
    <row r="49" spans="1:4" x14ac:dyDescent="0.55000000000000004">
      <c r="A49" s="6" t="s">
        <v>886</v>
      </c>
      <c r="B49" s="6" t="s">
        <v>745</v>
      </c>
      <c r="C49" s="6" t="s">
        <v>746</v>
      </c>
      <c r="D49" s="7" t="s">
        <v>747</v>
      </c>
    </row>
    <row r="50" spans="1:4" x14ac:dyDescent="0.55000000000000004">
      <c r="A50" s="6" t="s">
        <v>208</v>
      </c>
      <c r="B50" s="6" t="s">
        <v>73</v>
      </c>
      <c r="C50" s="6" t="s">
        <v>697</v>
      </c>
      <c r="D50" s="7" t="s">
        <v>748</v>
      </c>
    </row>
    <row r="51" spans="1:4" x14ac:dyDescent="0.55000000000000004">
      <c r="A51" s="6" t="s">
        <v>241</v>
      </c>
      <c r="B51" s="6" t="s">
        <v>78</v>
      </c>
      <c r="C51" s="6" t="s">
        <v>10</v>
      </c>
      <c r="D51" s="7" t="s">
        <v>749</v>
      </c>
    </row>
    <row r="52" spans="1:4" x14ac:dyDescent="0.55000000000000004">
      <c r="A52" s="6" t="s">
        <v>209</v>
      </c>
      <c r="B52" s="6" t="s">
        <v>99</v>
      </c>
      <c r="C52" s="6" t="s">
        <v>697</v>
      </c>
      <c r="D52" s="7" t="s">
        <v>750</v>
      </c>
    </row>
    <row r="53" spans="1:4" x14ac:dyDescent="0.55000000000000004">
      <c r="A53" s="6" t="s">
        <v>210</v>
      </c>
      <c r="B53" s="6" t="s">
        <v>75</v>
      </c>
      <c r="C53" s="6" t="s">
        <v>697</v>
      </c>
      <c r="D53" s="7" t="s">
        <v>751</v>
      </c>
    </row>
    <row r="54" spans="1:4" x14ac:dyDescent="0.55000000000000004">
      <c r="A54" s="6" t="s">
        <v>752</v>
      </c>
      <c r="B54" s="6" t="s">
        <v>498</v>
      </c>
      <c r="C54" s="6" t="s">
        <v>689</v>
      </c>
      <c r="D54" s="7" t="s">
        <v>753</v>
      </c>
    </row>
    <row r="55" spans="1:4" x14ac:dyDescent="0.55000000000000004">
      <c r="A55" s="6" t="s">
        <v>286</v>
      </c>
      <c r="B55" s="6" t="s">
        <v>66</v>
      </c>
      <c r="C55" s="6" t="s">
        <v>697</v>
      </c>
      <c r="D55" s="7" t="s">
        <v>754</v>
      </c>
    </row>
    <row r="56" spans="1:4" x14ac:dyDescent="0.55000000000000004">
      <c r="A56" s="6" t="s">
        <v>290</v>
      </c>
      <c r="B56" s="6" t="s">
        <v>69</v>
      </c>
      <c r="C56" s="6" t="s">
        <v>697</v>
      </c>
      <c r="D56" s="7" t="s">
        <v>755</v>
      </c>
    </row>
    <row r="57" spans="1:4" x14ac:dyDescent="0.55000000000000004">
      <c r="A57" s="6" t="s">
        <v>289</v>
      </c>
      <c r="B57" s="6" t="s">
        <v>68</v>
      </c>
      <c r="C57" s="6" t="s">
        <v>697</v>
      </c>
      <c r="D57" s="7" t="s">
        <v>756</v>
      </c>
    </row>
    <row r="58" spans="1:4" x14ac:dyDescent="0.55000000000000004">
      <c r="A58" s="6" t="s">
        <v>288</v>
      </c>
      <c r="B58" s="6" t="s">
        <v>67</v>
      </c>
      <c r="C58" s="6" t="s">
        <v>697</v>
      </c>
      <c r="D58" s="7" t="s">
        <v>757</v>
      </c>
    </row>
    <row r="59" spans="1:4" x14ac:dyDescent="0.55000000000000004">
      <c r="A59" s="6" t="s">
        <v>172</v>
      </c>
      <c r="B59" s="6" t="s">
        <v>55</v>
      </c>
      <c r="C59" s="6" t="s">
        <v>679</v>
      </c>
      <c r="D59" s="7" t="s">
        <v>758</v>
      </c>
    </row>
    <row r="60" spans="1:4" x14ac:dyDescent="0.55000000000000004">
      <c r="A60" s="6" t="s">
        <v>161</v>
      </c>
      <c r="B60" s="6" t="s">
        <v>162</v>
      </c>
      <c r="C60" s="6" t="s">
        <v>16</v>
      </c>
      <c r="D60" s="7" t="s">
        <v>759</v>
      </c>
    </row>
    <row r="61" spans="1:4" x14ac:dyDescent="0.55000000000000004">
      <c r="A61" s="6" t="s">
        <v>111</v>
      </c>
      <c r="B61" s="6" t="s">
        <v>760</v>
      </c>
      <c r="C61" s="6" t="s">
        <v>679</v>
      </c>
      <c r="D61" s="7" t="s">
        <v>761</v>
      </c>
    </row>
    <row r="62" spans="1:4" x14ac:dyDescent="0.55000000000000004">
      <c r="A62" s="6" t="s">
        <v>887</v>
      </c>
      <c r="B62" s="6" t="s">
        <v>762</v>
      </c>
      <c r="C62" s="6" t="s">
        <v>697</v>
      </c>
      <c r="D62" s="7" t="s">
        <v>763</v>
      </c>
    </row>
    <row r="63" spans="1:4" x14ac:dyDescent="0.55000000000000004">
      <c r="A63" s="6" t="s">
        <v>113</v>
      </c>
      <c r="B63" s="6" t="s">
        <v>114</v>
      </c>
      <c r="C63" s="6" t="s">
        <v>679</v>
      </c>
      <c r="D63" s="7" t="s">
        <v>764</v>
      </c>
    </row>
    <row r="64" spans="1:4" x14ac:dyDescent="0.55000000000000004">
      <c r="A64" s="6" t="s">
        <v>149</v>
      </c>
      <c r="B64" s="6" t="s">
        <v>150</v>
      </c>
      <c r="C64" s="6" t="s">
        <v>21</v>
      </c>
      <c r="D64" s="7" t="s">
        <v>765</v>
      </c>
    </row>
    <row r="65" spans="1:4" x14ac:dyDescent="0.55000000000000004">
      <c r="A65" s="6" t="s">
        <v>888</v>
      </c>
      <c r="B65" s="6" t="s">
        <v>76</v>
      </c>
      <c r="C65" s="6" t="s">
        <v>746</v>
      </c>
      <c r="D65" s="7" t="s">
        <v>766</v>
      </c>
    </row>
    <row r="66" spans="1:4" x14ac:dyDescent="0.55000000000000004">
      <c r="A66" s="6" t="s">
        <v>889</v>
      </c>
      <c r="B66" s="6" t="s">
        <v>767</v>
      </c>
      <c r="C66" s="6" t="s">
        <v>689</v>
      </c>
      <c r="D66" s="7" t="s">
        <v>768</v>
      </c>
    </row>
    <row r="67" spans="1:4" x14ac:dyDescent="0.55000000000000004">
      <c r="A67" s="6" t="s">
        <v>213</v>
      </c>
      <c r="B67" s="6" t="s">
        <v>74</v>
      </c>
      <c r="C67" s="6" t="s">
        <v>697</v>
      </c>
      <c r="D67" s="7" t="s">
        <v>769</v>
      </c>
    </row>
    <row r="68" spans="1:4" x14ac:dyDescent="0.55000000000000004">
      <c r="A68" s="6" t="s">
        <v>182</v>
      </c>
      <c r="B68" s="6" t="s">
        <v>84</v>
      </c>
      <c r="C68" s="6" t="s">
        <v>689</v>
      </c>
      <c r="D68" s="7" t="s">
        <v>770</v>
      </c>
    </row>
    <row r="69" spans="1:4" x14ac:dyDescent="0.55000000000000004">
      <c r="A69" s="6" t="s">
        <v>183</v>
      </c>
      <c r="B69" s="6" t="s">
        <v>771</v>
      </c>
      <c r="C69" s="6" t="s">
        <v>689</v>
      </c>
      <c r="D69" s="7" t="s">
        <v>772</v>
      </c>
    </row>
    <row r="70" spans="1:4" x14ac:dyDescent="0.55000000000000004">
      <c r="A70" s="6" t="s">
        <v>186</v>
      </c>
      <c r="B70" s="6" t="s">
        <v>773</v>
      </c>
      <c r="C70" s="6" t="s">
        <v>689</v>
      </c>
      <c r="D70" s="7" t="s">
        <v>774</v>
      </c>
    </row>
    <row r="71" spans="1:4" x14ac:dyDescent="0.55000000000000004">
      <c r="A71" s="6" t="s">
        <v>890</v>
      </c>
      <c r="B71" s="6" t="s">
        <v>313</v>
      </c>
      <c r="C71" s="6" t="s">
        <v>689</v>
      </c>
      <c r="D71" s="7" t="s">
        <v>775</v>
      </c>
    </row>
    <row r="72" spans="1:4" x14ac:dyDescent="0.55000000000000004">
      <c r="A72" s="6" t="s">
        <v>188</v>
      </c>
      <c r="B72" s="6" t="s">
        <v>102</v>
      </c>
      <c r="C72" s="6" t="s">
        <v>689</v>
      </c>
      <c r="D72" s="7" t="s">
        <v>776</v>
      </c>
    </row>
    <row r="73" spans="1:4" x14ac:dyDescent="0.55000000000000004">
      <c r="A73" s="6" t="s">
        <v>115</v>
      </c>
      <c r="B73" s="6" t="s">
        <v>61</v>
      </c>
      <c r="C73" s="6" t="s">
        <v>679</v>
      </c>
      <c r="D73" s="7" t="s">
        <v>779</v>
      </c>
    </row>
    <row r="74" spans="1:4" x14ac:dyDescent="0.55000000000000004">
      <c r="A74" s="6" t="s">
        <v>116</v>
      </c>
      <c r="B74" s="6" t="s">
        <v>780</v>
      </c>
      <c r="C74" s="6" t="s">
        <v>679</v>
      </c>
      <c r="D74" s="7" t="s">
        <v>781</v>
      </c>
    </row>
    <row r="75" spans="1:4" x14ac:dyDescent="0.55000000000000004">
      <c r="A75" s="6" t="s">
        <v>189</v>
      </c>
      <c r="B75" s="6" t="s">
        <v>85</v>
      </c>
      <c r="C75" s="6" t="s">
        <v>689</v>
      </c>
      <c r="D75" s="7" t="s">
        <v>782</v>
      </c>
    </row>
    <row r="76" spans="1:4" x14ac:dyDescent="0.55000000000000004">
      <c r="A76" s="6" t="s">
        <v>118</v>
      </c>
      <c r="B76" s="6" t="s">
        <v>777</v>
      </c>
      <c r="C76" s="6" t="s">
        <v>679</v>
      </c>
      <c r="D76" s="7" t="s">
        <v>778</v>
      </c>
    </row>
    <row r="77" spans="1:4" x14ac:dyDescent="0.55000000000000004">
      <c r="A77" s="6" t="s">
        <v>120</v>
      </c>
      <c r="B77" s="6" t="s">
        <v>58</v>
      </c>
      <c r="C77" s="6" t="s">
        <v>679</v>
      </c>
      <c r="D77" s="7" t="s">
        <v>783</v>
      </c>
    </row>
    <row r="78" spans="1:4" x14ac:dyDescent="0.55000000000000004">
      <c r="A78" s="6" t="s">
        <v>297</v>
      </c>
      <c r="B78" s="6" t="s">
        <v>298</v>
      </c>
      <c r="C78" s="6" t="s">
        <v>16</v>
      </c>
      <c r="D78" s="7" t="s">
        <v>784</v>
      </c>
    </row>
    <row r="79" spans="1:4" x14ac:dyDescent="0.55000000000000004">
      <c r="A79" s="6" t="s">
        <v>662</v>
      </c>
      <c r="B79" s="6" t="s">
        <v>663</v>
      </c>
      <c r="C79" s="6" t="s">
        <v>697</v>
      </c>
      <c r="D79" s="7" t="s">
        <v>785</v>
      </c>
    </row>
    <row r="80" spans="1:4" x14ac:dyDescent="0.55000000000000004">
      <c r="A80" s="6" t="s">
        <v>786</v>
      </c>
      <c r="B80" s="6" t="s">
        <v>660</v>
      </c>
      <c r="C80" s="6" t="s">
        <v>21</v>
      </c>
      <c r="D80" s="7" t="s">
        <v>787</v>
      </c>
    </row>
    <row r="81" spans="1:4" x14ac:dyDescent="0.55000000000000004">
      <c r="A81" s="6" t="s">
        <v>788</v>
      </c>
      <c r="B81" s="6" t="s">
        <v>669</v>
      </c>
      <c r="C81" s="6" t="s">
        <v>697</v>
      </c>
      <c r="D81" s="7" t="s">
        <v>789</v>
      </c>
    </row>
    <row r="82" spans="1:4" x14ac:dyDescent="0.55000000000000004">
      <c r="A82" s="6" t="s">
        <v>790</v>
      </c>
      <c r="B82" s="6" t="s">
        <v>791</v>
      </c>
      <c r="C82" s="6" t="s">
        <v>746</v>
      </c>
      <c r="D82" s="7" t="s">
        <v>792</v>
      </c>
    </row>
    <row r="83" spans="1:4" x14ac:dyDescent="0.55000000000000004">
      <c r="A83" s="6" t="s">
        <v>665</v>
      </c>
      <c r="B83" s="6" t="s">
        <v>666</v>
      </c>
      <c r="C83" s="6" t="s">
        <v>697</v>
      </c>
      <c r="D83" s="7" t="s">
        <v>793</v>
      </c>
    </row>
    <row r="84" spans="1:4" x14ac:dyDescent="0.55000000000000004">
      <c r="A84" s="6" t="s">
        <v>891</v>
      </c>
      <c r="B84" s="6" t="s">
        <v>794</v>
      </c>
      <c r="C84" s="6" t="s">
        <v>697</v>
      </c>
      <c r="D84" s="7" t="s">
        <v>795</v>
      </c>
    </row>
    <row r="85" spans="1:4" x14ac:dyDescent="0.55000000000000004">
      <c r="A85" s="6" t="s">
        <v>796</v>
      </c>
      <c r="B85" s="6" t="s">
        <v>366</v>
      </c>
      <c r="C85" s="6" t="s">
        <v>689</v>
      </c>
      <c r="D85" s="7" t="s">
        <v>797</v>
      </c>
    </row>
    <row r="86" spans="1:4" x14ac:dyDescent="0.55000000000000004">
      <c r="A86" s="6" t="s">
        <v>151</v>
      </c>
      <c r="B86" s="6" t="s">
        <v>88</v>
      </c>
      <c r="C86" s="6" t="s">
        <v>21</v>
      </c>
      <c r="D86" s="7" t="s">
        <v>798</v>
      </c>
    </row>
    <row r="87" spans="1:4" x14ac:dyDescent="0.55000000000000004">
      <c r="A87" s="6" t="s">
        <v>243</v>
      </c>
      <c r="B87" s="6" t="s">
        <v>34</v>
      </c>
      <c r="C87" s="6" t="s">
        <v>689</v>
      </c>
      <c r="D87" s="7" t="s">
        <v>799</v>
      </c>
    </row>
    <row r="88" spans="1:4" x14ac:dyDescent="0.55000000000000004">
      <c r="A88" s="6" t="s">
        <v>507</v>
      </c>
      <c r="B88" s="6" t="s">
        <v>800</v>
      </c>
      <c r="C88" s="6" t="s">
        <v>689</v>
      </c>
      <c r="D88" s="7" t="s">
        <v>801</v>
      </c>
    </row>
    <row r="89" spans="1:4" x14ac:dyDescent="0.55000000000000004">
      <c r="A89" s="6" t="s">
        <v>802</v>
      </c>
      <c r="B89" s="6" t="s">
        <v>803</v>
      </c>
      <c r="C89" s="6" t="s">
        <v>689</v>
      </c>
      <c r="D89" s="7" t="s">
        <v>804</v>
      </c>
    </row>
    <row r="90" spans="1:4" x14ac:dyDescent="0.55000000000000004">
      <c r="A90" s="6" t="s">
        <v>277</v>
      </c>
      <c r="B90" s="6" t="s">
        <v>314</v>
      </c>
      <c r="C90" s="6" t="s">
        <v>21</v>
      </c>
      <c r="D90" s="7" t="s">
        <v>805</v>
      </c>
    </row>
    <row r="91" spans="1:4" x14ac:dyDescent="0.55000000000000004">
      <c r="A91" s="6" t="s">
        <v>252</v>
      </c>
      <c r="B91" s="6" t="s">
        <v>82</v>
      </c>
      <c r="C91" s="6" t="s">
        <v>733</v>
      </c>
      <c r="D91" s="7" t="s">
        <v>806</v>
      </c>
    </row>
    <row r="92" spans="1:4" x14ac:dyDescent="0.55000000000000004">
      <c r="A92" s="6" t="s">
        <v>281</v>
      </c>
      <c r="B92" s="6" t="s">
        <v>807</v>
      </c>
      <c r="C92" s="6" t="s">
        <v>733</v>
      </c>
      <c r="D92" s="7" t="s">
        <v>808</v>
      </c>
    </row>
    <row r="93" spans="1:4" x14ac:dyDescent="0.55000000000000004">
      <c r="A93" s="6" t="s">
        <v>892</v>
      </c>
      <c r="B93" s="6" t="s">
        <v>93</v>
      </c>
      <c r="C93" s="6" t="s">
        <v>11</v>
      </c>
      <c r="D93" s="7" t="s">
        <v>809</v>
      </c>
    </row>
    <row r="94" spans="1:4" x14ac:dyDescent="0.55000000000000004">
      <c r="A94" s="6" t="s">
        <v>893</v>
      </c>
      <c r="B94" s="6" t="s">
        <v>810</v>
      </c>
      <c r="C94" s="6" t="s">
        <v>21</v>
      </c>
      <c r="D94" s="7" t="s">
        <v>811</v>
      </c>
    </row>
    <row r="95" spans="1:4" x14ac:dyDescent="0.55000000000000004">
      <c r="A95" s="6" t="s">
        <v>303</v>
      </c>
      <c r="B95" s="6" t="s">
        <v>812</v>
      </c>
      <c r="C95" s="6" t="s">
        <v>679</v>
      </c>
      <c r="D95" s="7" t="s">
        <v>813</v>
      </c>
    </row>
    <row r="96" spans="1:4" x14ac:dyDescent="0.55000000000000004">
      <c r="A96" s="6" t="s">
        <v>305</v>
      </c>
      <c r="B96" s="6" t="s">
        <v>814</v>
      </c>
      <c r="C96" s="6" t="s">
        <v>679</v>
      </c>
      <c r="D96" s="7" t="s">
        <v>815</v>
      </c>
    </row>
    <row r="97" spans="1:4" x14ac:dyDescent="0.55000000000000004">
      <c r="A97" s="6" t="s">
        <v>307</v>
      </c>
      <c r="B97" s="6" t="s">
        <v>816</v>
      </c>
      <c r="C97" s="6" t="s">
        <v>679</v>
      </c>
      <c r="D97" s="7" t="s">
        <v>817</v>
      </c>
    </row>
    <row r="98" spans="1:4" x14ac:dyDescent="0.55000000000000004">
      <c r="A98" s="6" t="s">
        <v>894</v>
      </c>
      <c r="B98" s="6" t="s">
        <v>818</v>
      </c>
      <c r="C98" s="6" t="s">
        <v>679</v>
      </c>
      <c r="D98" s="7" t="s">
        <v>819</v>
      </c>
    </row>
    <row r="99" spans="1:4" x14ac:dyDescent="0.55000000000000004">
      <c r="A99" s="6" t="s">
        <v>156</v>
      </c>
      <c r="B99" s="6" t="s">
        <v>51</v>
      </c>
      <c r="C99" s="6" t="s">
        <v>21</v>
      </c>
      <c r="D99" s="7" t="s">
        <v>821</v>
      </c>
    </row>
    <row r="100" spans="1:4" x14ac:dyDescent="0.55000000000000004">
      <c r="A100" s="6" t="s">
        <v>895</v>
      </c>
      <c r="B100" s="6" t="s">
        <v>155</v>
      </c>
      <c r="C100" s="6" t="s">
        <v>21</v>
      </c>
      <c r="D100" s="7" t="s">
        <v>820</v>
      </c>
    </row>
    <row r="101" spans="1:4" x14ac:dyDescent="0.55000000000000004">
      <c r="A101" s="6" t="s">
        <v>822</v>
      </c>
      <c r="B101" s="6" t="s">
        <v>823</v>
      </c>
      <c r="C101" s="6" t="s">
        <v>679</v>
      </c>
      <c r="D101" s="7" t="s">
        <v>824</v>
      </c>
    </row>
    <row r="102" spans="1:4" x14ac:dyDescent="0.55000000000000004">
      <c r="A102" s="6" t="s">
        <v>315</v>
      </c>
      <c r="B102" s="6" t="s">
        <v>316</v>
      </c>
      <c r="C102" s="6" t="s">
        <v>10</v>
      </c>
      <c r="D102" s="7" t="s">
        <v>825</v>
      </c>
    </row>
    <row r="103" spans="1:4" x14ac:dyDescent="0.55000000000000004">
      <c r="A103" s="6" t="s">
        <v>317</v>
      </c>
      <c r="B103" s="6" t="s">
        <v>826</v>
      </c>
      <c r="C103" s="6" t="s">
        <v>10</v>
      </c>
      <c r="D103" s="7" t="s">
        <v>827</v>
      </c>
    </row>
    <row r="104" spans="1:4" x14ac:dyDescent="0.55000000000000004">
      <c r="A104" s="6" t="s">
        <v>828</v>
      </c>
      <c r="B104" s="6" t="s">
        <v>100</v>
      </c>
      <c r="C104" s="6" t="s">
        <v>11</v>
      </c>
      <c r="D104" s="7" t="s">
        <v>829</v>
      </c>
    </row>
    <row r="105" spans="1:4" x14ac:dyDescent="0.55000000000000004">
      <c r="A105" s="6" t="s">
        <v>510</v>
      </c>
      <c r="B105" s="6" t="s">
        <v>511</v>
      </c>
      <c r="C105" s="6" t="s">
        <v>689</v>
      </c>
      <c r="D105" s="7" t="s">
        <v>830</v>
      </c>
    </row>
    <row r="106" spans="1:4" x14ac:dyDescent="0.55000000000000004">
      <c r="A106" s="6" t="s">
        <v>896</v>
      </c>
      <c r="B106" s="6" t="s">
        <v>56</v>
      </c>
      <c r="C106" s="6" t="s">
        <v>679</v>
      </c>
      <c r="D106" s="7" t="s">
        <v>831</v>
      </c>
    </row>
    <row r="107" spans="1:4" x14ac:dyDescent="0.55000000000000004">
      <c r="A107" s="6" t="s">
        <v>897</v>
      </c>
      <c r="B107" s="6" t="s">
        <v>60</v>
      </c>
      <c r="C107" s="6" t="s">
        <v>679</v>
      </c>
      <c r="D107" s="7" t="s">
        <v>832</v>
      </c>
    </row>
    <row r="108" spans="1:4" x14ac:dyDescent="0.55000000000000004">
      <c r="A108" s="6" t="s">
        <v>257</v>
      </c>
      <c r="B108" s="6" t="s">
        <v>80</v>
      </c>
      <c r="C108" s="6" t="s">
        <v>733</v>
      </c>
      <c r="D108" s="7" t="s">
        <v>833</v>
      </c>
    </row>
    <row r="109" spans="1:4" x14ac:dyDescent="0.55000000000000004">
      <c r="A109" s="6" t="s">
        <v>193</v>
      </c>
      <c r="B109" s="6" t="s">
        <v>834</v>
      </c>
      <c r="C109" s="6" t="s">
        <v>689</v>
      </c>
      <c r="D109" s="7" t="s">
        <v>835</v>
      </c>
    </row>
    <row r="110" spans="1:4" x14ac:dyDescent="0.55000000000000004">
      <c r="A110" s="6" t="s">
        <v>196</v>
      </c>
      <c r="B110" s="6" t="s">
        <v>38</v>
      </c>
      <c r="C110" s="6" t="s">
        <v>689</v>
      </c>
      <c r="D110" s="7" t="s">
        <v>836</v>
      </c>
    </row>
    <row r="111" spans="1:4" x14ac:dyDescent="0.55000000000000004">
      <c r="A111" s="6" t="s">
        <v>898</v>
      </c>
      <c r="B111" s="6" t="s">
        <v>837</v>
      </c>
      <c r="C111" s="6" t="s">
        <v>679</v>
      </c>
      <c r="D111" s="7" t="s">
        <v>838</v>
      </c>
    </row>
    <row r="112" spans="1:4" x14ac:dyDescent="0.55000000000000004">
      <c r="A112" s="6" t="s">
        <v>899</v>
      </c>
      <c r="B112" s="6" t="s">
        <v>839</v>
      </c>
      <c r="C112" s="6" t="s">
        <v>689</v>
      </c>
      <c r="D112" s="7" t="s">
        <v>840</v>
      </c>
    </row>
    <row r="113" spans="1:4" x14ac:dyDescent="0.55000000000000004">
      <c r="A113" s="6" t="s">
        <v>514</v>
      </c>
      <c r="B113" s="6" t="s">
        <v>841</v>
      </c>
      <c r="C113" s="6" t="s">
        <v>689</v>
      </c>
      <c r="D113" s="7" t="s">
        <v>842</v>
      </c>
    </row>
    <row r="114" spans="1:4" x14ac:dyDescent="0.55000000000000004">
      <c r="A114" s="6" t="s">
        <v>843</v>
      </c>
      <c r="B114" s="6" t="s">
        <v>309</v>
      </c>
      <c r="C114" s="6" t="s">
        <v>746</v>
      </c>
      <c r="D114" s="7" t="s">
        <v>844</v>
      </c>
    </row>
    <row r="115" spans="1:4" x14ac:dyDescent="0.55000000000000004">
      <c r="A115" s="6" t="s">
        <v>900</v>
      </c>
      <c r="B115" s="6" t="s">
        <v>310</v>
      </c>
      <c r="C115" s="6" t="s">
        <v>746</v>
      </c>
      <c r="D115" s="7" t="s">
        <v>845</v>
      </c>
    </row>
    <row r="116" spans="1:4" x14ac:dyDescent="0.55000000000000004">
      <c r="A116" s="6" t="s">
        <v>319</v>
      </c>
      <c r="B116" s="6" t="s">
        <v>320</v>
      </c>
      <c r="C116" s="6" t="s">
        <v>697</v>
      </c>
      <c r="D116" s="7" t="s">
        <v>846</v>
      </c>
    </row>
    <row r="117" spans="1:4" x14ac:dyDescent="0.55000000000000004">
      <c r="A117" s="6" t="s">
        <v>901</v>
      </c>
      <c r="B117" s="6" t="s">
        <v>847</v>
      </c>
      <c r="C117" s="6" t="s">
        <v>10</v>
      </c>
      <c r="D117" s="7" t="s">
        <v>848</v>
      </c>
    </row>
    <row r="118" spans="1:4" x14ac:dyDescent="0.55000000000000004">
      <c r="A118" s="6" t="s">
        <v>219</v>
      </c>
      <c r="B118" s="6" t="s">
        <v>70</v>
      </c>
      <c r="C118" s="6" t="s">
        <v>697</v>
      </c>
      <c r="D118" s="7" t="s">
        <v>849</v>
      </c>
    </row>
    <row r="119" spans="1:4" x14ac:dyDescent="0.55000000000000004">
      <c r="A119" s="6" t="s">
        <v>131</v>
      </c>
      <c r="B119" s="6" t="s">
        <v>53</v>
      </c>
      <c r="C119" s="6" t="s">
        <v>11</v>
      </c>
      <c r="D119" s="7" t="s">
        <v>850</v>
      </c>
    </row>
    <row r="120" spans="1:4" x14ac:dyDescent="0.55000000000000004">
      <c r="A120" s="6" t="s">
        <v>199</v>
      </c>
      <c r="B120" s="6" t="s">
        <v>851</v>
      </c>
      <c r="C120" s="6" t="s">
        <v>689</v>
      </c>
      <c r="D120" s="7" t="s">
        <v>852</v>
      </c>
    </row>
    <row r="121" spans="1:4" x14ac:dyDescent="0.55000000000000004">
      <c r="A121" s="6" t="s">
        <v>201</v>
      </c>
      <c r="B121" s="6" t="s">
        <v>853</v>
      </c>
      <c r="C121" s="6" t="s">
        <v>689</v>
      </c>
      <c r="D121" s="7" t="s">
        <v>854</v>
      </c>
    </row>
    <row r="122" spans="1:4" x14ac:dyDescent="0.55000000000000004">
      <c r="A122" s="6" t="s">
        <v>132</v>
      </c>
      <c r="B122" s="6" t="s">
        <v>860</v>
      </c>
      <c r="C122" s="6" t="s">
        <v>679</v>
      </c>
      <c r="D122" s="7" t="s">
        <v>861</v>
      </c>
    </row>
    <row r="123" spans="1:4" x14ac:dyDescent="0.55000000000000004">
      <c r="A123" s="6" t="s">
        <v>259</v>
      </c>
      <c r="B123" s="6" t="s">
        <v>862</v>
      </c>
      <c r="C123" s="6" t="s">
        <v>733</v>
      </c>
      <c r="D123" s="7" t="s">
        <v>863</v>
      </c>
    </row>
    <row r="124" spans="1:4" x14ac:dyDescent="0.55000000000000004">
      <c r="A124" s="6" t="s">
        <v>902</v>
      </c>
      <c r="B124" s="6" t="s">
        <v>101</v>
      </c>
      <c r="C124" s="6" t="s">
        <v>10</v>
      </c>
      <c r="D124" s="7" t="s">
        <v>864</v>
      </c>
    </row>
    <row r="125" spans="1:4" x14ac:dyDescent="0.55000000000000004">
      <c r="A125" s="6" t="s">
        <v>903</v>
      </c>
      <c r="B125" s="6" t="s">
        <v>855</v>
      </c>
      <c r="C125" s="6" t="s">
        <v>733</v>
      </c>
      <c r="D125" s="7" t="s">
        <v>856</v>
      </c>
    </row>
    <row r="126" spans="1:4" x14ac:dyDescent="0.55000000000000004">
      <c r="A126" s="6" t="s">
        <v>904</v>
      </c>
      <c r="B126" s="6" t="s">
        <v>857</v>
      </c>
      <c r="C126" s="6" t="s">
        <v>733</v>
      </c>
      <c r="D126" s="7" t="s">
        <v>858</v>
      </c>
    </row>
    <row r="127" spans="1:4" x14ac:dyDescent="0.55000000000000004">
      <c r="A127" s="6" t="s">
        <v>134</v>
      </c>
      <c r="B127" s="6" t="s">
        <v>865</v>
      </c>
      <c r="C127" s="6" t="s">
        <v>679</v>
      </c>
      <c r="D127" s="7" t="s">
        <v>866</v>
      </c>
    </row>
    <row r="128" spans="1:4" x14ac:dyDescent="0.55000000000000004">
      <c r="A128" s="6" t="s">
        <v>220</v>
      </c>
      <c r="B128" s="6" t="s">
        <v>867</v>
      </c>
      <c r="C128" s="6" t="s">
        <v>697</v>
      </c>
      <c r="D128" s="7" t="s">
        <v>868</v>
      </c>
    </row>
    <row r="129" spans="1:4" x14ac:dyDescent="0.55000000000000004">
      <c r="A129" s="6" t="s">
        <v>248</v>
      </c>
      <c r="B129" s="6" t="s">
        <v>36</v>
      </c>
      <c r="C129" s="6" t="s">
        <v>689</v>
      </c>
      <c r="D129" s="7" t="s">
        <v>859</v>
      </c>
    </row>
    <row r="130" spans="1:4" x14ac:dyDescent="0.55000000000000004">
      <c r="A130" s="6" t="s">
        <v>203</v>
      </c>
      <c r="B130" s="6" t="s">
        <v>83</v>
      </c>
      <c r="C130" s="6" t="s">
        <v>689</v>
      </c>
      <c r="D130" s="7" t="s">
        <v>869</v>
      </c>
    </row>
    <row r="131" spans="1:4" x14ac:dyDescent="0.55000000000000004">
      <c r="A131" s="6" t="s">
        <v>2240</v>
      </c>
      <c r="B131" s="6" t="s">
        <v>2241</v>
      </c>
      <c r="C131" s="6" t="s">
        <v>689</v>
      </c>
      <c r="D131" s="7" t="s">
        <v>2242</v>
      </c>
    </row>
    <row r="132" spans="1:4" x14ac:dyDescent="0.55000000000000004">
      <c r="A132" s="6" t="s">
        <v>2243</v>
      </c>
      <c r="B132" s="6" t="s">
        <v>2244</v>
      </c>
      <c r="C132" s="6" t="s">
        <v>689</v>
      </c>
      <c r="D132" s="7" t="s">
        <v>2245</v>
      </c>
    </row>
    <row r="133" spans="1:4" x14ac:dyDescent="0.55000000000000004">
      <c r="A133" s="6" t="s">
        <v>2246</v>
      </c>
      <c r="B133" s="6" t="s">
        <v>2247</v>
      </c>
      <c r="C133" s="6" t="s">
        <v>689</v>
      </c>
      <c r="D133" s="7" t="s">
        <v>2248</v>
      </c>
    </row>
    <row r="134" spans="1:4" x14ac:dyDescent="0.55000000000000004">
      <c r="A134" s="6" t="s">
        <v>2249</v>
      </c>
      <c r="B134" s="6" t="s">
        <v>2250</v>
      </c>
      <c r="C134" s="6" t="s">
        <v>689</v>
      </c>
      <c r="D134" s="7" t="s">
        <v>2251</v>
      </c>
    </row>
    <row r="135" spans="1:4" x14ac:dyDescent="0.55000000000000004">
      <c r="A135" s="6" t="s">
        <v>2252</v>
      </c>
      <c r="B135" s="6" t="s">
        <v>2253</v>
      </c>
      <c r="C135" s="6" t="s">
        <v>689</v>
      </c>
      <c r="D135" s="7" t="s">
        <v>2254</v>
      </c>
    </row>
    <row r="136" spans="1:4" x14ac:dyDescent="0.55000000000000004">
      <c r="A136" s="6" t="s">
        <v>2255</v>
      </c>
      <c r="B136" s="6" t="s">
        <v>2256</v>
      </c>
      <c r="C136" s="6" t="s">
        <v>689</v>
      </c>
      <c r="D136" s="7" t="s">
        <v>2257</v>
      </c>
    </row>
    <row r="137" spans="1:4" x14ac:dyDescent="0.55000000000000004">
      <c r="A137" s="6" t="s">
        <v>2258</v>
      </c>
      <c r="B137" s="6" t="s">
        <v>2259</v>
      </c>
      <c r="C137" s="6" t="s">
        <v>689</v>
      </c>
      <c r="D137" s="7" t="s">
        <v>2260</v>
      </c>
    </row>
    <row r="138" spans="1:4" x14ac:dyDescent="0.55000000000000004">
      <c r="A138" s="6" t="s">
        <v>2261</v>
      </c>
      <c r="B138" s="6" t="s">
        <v>2262</v>
      </c>
      <c r="C138" s="6" t="s">
        <v>689</v>
      </c>
      <c r="D138" s="7" t="s">
        <v>2263</v>
      </c>
    </row>
    <row r="139" spans="1:4" x14ac:dyDescent="0.55000000000000004">
      <c r="A139" s="6" t="s">
        <v>2264</v>
      </c>
      <c r="B139" s="6" t="s">
        <v>2265</v>
      </c>
      <c r="C139" s="6" t="s">
        <v>689</v>
      </c>
      <c r="D139" s="7" t="s">
        <v>2266</v>
      </c>
    </row>
    <row r="140" spans="1:4" x14ac:dyDescent="0.55000000000000004">
      <c r="A140" s="6" t="s">
        <v>2267</v>
      </c>
      <c r="B140" s="6" t="s">
        <v>2268</v>
      </c>
      <c r="C140" s="6" t="s">
        <v>689</v>
      </c>
      <c r="D140" s="7" t="s">
        <v>2269</v>
      </c>
    </row>
    <row r="141" spans="1:4" x14ac:dyDescent="0.55000000000000004">
      <c r="A141" s="6" t="s">
        <v>2270</v>
      </c>
      <c r="B141" s="6" t="s">
        <v>2271</v>
      </c>
      <c r="C141" s="6" t="s">
        <v>689</v>
      </c>
      <c r="D141" s="7" t="s">
        <v>2272</v>
      </c>
    </row>
    <row r="142" spans="1:4" x14ac:dyDescent="0.55000000000000004">
      <c r="A142" s="6" t="s">
        <v>2273</v>
      </c>
      <c r="B142" s="6" t="s">
        <v>2274</v>
      </c>
      <c r="C142" s="6" t="s">
        <v>689</v>
      </c>
      <c r="D142" s="7" t="s">
        <v>2275</v>
      </c>
    </row>
    <row r="143" spans="1:4" x14ac:dyDescent="0.55000000000000004">
      <c r="A143" s="6" t="s">
        <v>2276</v>
      </c>
      <c r="B143" s="6" t="s">
        <v>2277</v>
      </c>
      <c r="C143" s="6" t="s">
        <v>689</v>
      </c>
      <c r="D143" s="7" t="s">
        <v>2278</v>
      </c>
    </row>
    <row r="144" spans="1:4" x14ac:dyDescent="0.55000000000000004">
      <c r="A144" s="6" t="s">
        <v>2279</v>
      </c>
      <c r="B144" s="6" t="s">
        <v>2280</v>
      </c>
      <c r="C144" s="6" t="s">
        <v>689</v>
      </c>
      <c r="D144" s="7" t="s">
        <v>2281</v>
      </c>
    </row>
    <row r="145" spans="1:4" x14ac:dyDescent="0.55000000000000004">
      <c r="A145" s="6" t="s">
        <v>518</v>
      </c>
      <c r="B145" s="6" t="s">
        <v>870</v>
      </c>
      <c r="C145" s="6" t="s">
        <v>689</v>
      </c>
      <c r="D145" s="7" t="s">
        <v>871</v>
      </c>
    </row>
    <row r="146" spans="1:4" x14ac:dyDescent="0.55000000000000004">
      <c r="A146" s="6" t="s">
        <v>2282</v>
      </c>
      <c r="B146" s="6" t="s">
        <v>2283</v>
      </c>
      <c r="C146" s="6" t="s">
        <v>689</v>
      </c>
      <c r="D146" s="7" t="s">
        <v>2284</v>
      </c>
    </row>
    <row r="147" spans="1:4" x14ac:dyDescent="0.55000000000000004">
      <c r="A147" s="6" t="s">
        <v>261</v>
      </c>
      <c r="B147" s="6" t="s">
        <v>872</v>
      </c>
      <c r="C147" s="6" t="s">
        <v>733</v>
      </c>
      <c r="D147" s="7" t="s">
        <v>873</v>
      </c>
    </row>
    <row r="148" spans="1:4" x14ac:dyDescent="0.55000000000000004">
      <c r="A148" s="6" t="s">
        <v>2285</v>
      </c>
      <c r="B148" s="6" t="s">
        <v>1683</v>
      </c>
      <c r="C148" s="6" t="s">
        <v>679</v>
      </c>
      <c r="D148" s="7" t="s">
        <v>2286</v>
      </c>
    </row>
    <row r="149" spans="1:4" x14ac:dyDescent="0.55000000000000004">
      <c r="A149" s="6" t="s">
        <v>905</v>
      </c>
      <c r="B149" s="6" t="s">
        <v>874</v>
      </c>
      <c r="C149" s="6" t="s">
        <v>697</v>
      </c>
      <c r="D149" s="7" t="s">
        <v>875</v>
      </c>
    </row>
    <row r="150" spans="1:4" x14ac:dyDescent="0.55000000000000004">
      <c r="A150" s="6" t="s">
        <v>906</v>
      </c>
      <c r="B150" s="6" t="s">
        <v>876</v>
      </c>
      <c r="C150" s="6" t="s">
        <v>679</v>
      </c>
      <c r="D150" s="7" t="s">
        <v>877</v>
      </c>
    </row>
  </sheetData>
  <hyperlinks>
    <hyperlink ref="D5" r:id="rId1" xr:uid="{14F00EA7-D8B6-4524-A69E-52B0D89B0791}"/>
  </hyperlinks>
  <pageMargins left="0.7" right="0.7" top="0.75" bottom="0.75" header="0.3" footer="0.3"/>
  <pageSetup orientation="portrait" horizontalDpi="1200" verticalDpi="1200"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171EE-3353-41DC-9875-B92A7EB24D2E}">
  <sheetPr codeName="Sheet6"/>
  <dimension ref="A1:D174"/>
  <sheetViews>
    <sheetView workbookViewId="0">
      <selection activeCell="A5" sqref="A5"/>
    </sheetView>
  </sheetViews>
  <sheetFormatPr defaultRowHeight="14.4" x14ac:dyDescent="0.55000000000000004"/>
  <cols>
    <col min="1" max="1" width="15.89453125" bestFit="1" customWidth="1"/>
    <col min="2" max="2" width="22.1015625" bestFit="1" customWidth="1"/>
    <col min="3" max="3" width="12.68359375" bestFit="1" customWidth="1"/>
    <col min="4" max="4" width="100.7890625" customWidth="1"/>
  </cols>
  <sheetData>
    <row r="1" spans="1:4" x14ac:dyDescent="0.55000000000000004">
      <c r="A1" t="s">
        <v>0</v>
      </c>
      <c r="B1" t="s">
        <v>9</v>
      </c>
      <c r="C1" t="s">
        <v>3</v>
      </c>
      <c r="D1" t="s">
        <v>2</v>
      </c>
    </row>
    <row r="2" spans="1:4" x14ac:dyDescent="0.55000000000000004">
      <c r="A2" s="6" t="s">
        <v>103</v>
      </c>
      <c r="B2" s="6" t="s">
        <v>96</v>
      </c>
      <c r="C2" s="6" t="s">
        <v>32</v>
      </c>
      <c r="D2" s="7" t="s">
        <v>378</v>
      </c>
    </row>
    <row r="3" spans="1:4" x14ac:dyDescent="0.55000000000000004">
      <c r="A3" s="6" t="s">
        <v>165</v>
      </c>
      <c r="B3" s="6" t="s">
        <v>166</v>
      </c>
      <c r="C3" s="6" t="s">
        <v>11</v>
      </c>
      <c r="D3" s="7" t="s">
        <v>379</v>
      </c>
    </row>
    <row r="4" spans="1:4" x14ac:dyDescent="0.55000000000000004">
      <c r="A4" s="6" t="s">
        <v>230</v>
      </c>
      <c r="B4" s="6" t="s">
        <v>231</v>
      </c>
      <c r="C4" s="6" t="s">
        <v>10</v>
      </c>
      <c r="D4" s="7" t="s">
        <v>380</v>
      </c>
    </row>
    <row r="5" spans="1:4" x14ac:dyDescent="0.55000000000000004">
      <c r="A5" s="6" t="s">
        <v>250</v>
      </c>
      <c r="B5" s="6" t="s">
        <v>251</v>
      </c>
      <c r="C5" s="6" t="s">
        <v>301</v>
      </c>
      <c r="D5" s="7" t="s">
        <v>381</v>
      </c>
    </row>
    <row r="6" spans="1:4" x14ac:dyDescent="0.55000000000000004">
      <c r="A6" s="6" t="s">
        <v>295</v>
      </c>
      <c r="B6" s="6" t="s">
        <v>296</v>
      </c>
      <c r="C6" s="6" t="s">
        <v>16</v>
      </c>
      <c r="D6" s="7" t="s">
        <v>382</v>
      </c>
    </row>
    <row r="7" spans="1:4" x14ac:dyDescent="0.55000000000000004">
      <c r="A7" s="6" t="s">
        <v>104</v>
      </c>
      <c r="B7" s="6" t="s">
        <v>57</v>
      </c>
      <c r="C7" s="6" t="s">
        <v>32</v>
      </c>
      <c r="D7" s="7" t="s">
        <v>383</v>
      </c>
    </row>
    <row r="8" spans="1:4" x14ac:dyDescent="0.55000000000000004">
      <c r="A8" s="6" t="s">
        <v>105</v>
      </c>
      <c r="B8" s="6" t="s">
        <v>62</v>
      </c>
      <c r="C8" s="6" t="s">
        <v>32</v>
      </c>
      <c r="D8" s="7" t="s">
        <v>384</v>
      </c>
    </row>
    <row r="9" spans="1:4" x14ac:dyDescent="0.55000000000000004">
      <c r="A9" s="6" t="s">
        <v>174</v>
      </c>
      <c r="B9" s="6" t="s">
        <v>175</v>
      </c>
      <c r="C9" s="6" t="s">
        <v>31</v>
      </c>
      <c r="D9" s="7" t="s">
        <v>493</v>
      </c>
    </row>
    <row r="10" spans="1:4" x14ac:dyDescent="0.55000000000000004">
      <c r="A10" s="6" t="s">
        <v>176</v>
      </c>
      <c r="B10" s="6" t="s">
        <v>89</v>
      </c>
      <c r="C10" s="6" t="s">
        <v>31</v>
      </c>
      <c r="D10" s="7" t="s">
        <v>385</v>
      </c>
    </row>
    <row r="11" spans="1:4" x14ac:dyDescent="0.55000000000000004">
      <c r="A11" s="6" t="s">
        <v>106</v>
      </c>
      <c r="B11" s="6" t="s">
        <v>94</v>
      </c>
      <c r="C11" s="6" t="s">
        <v>32</v>
      </c>
      <c r="D11" s="7" t="s">
        <v>386</v>
      </c>
    </row>
    <row r="12" spans="1:4" x14ac:dyDescent="0.55000000000000004">
      <c r="A12" s="6" t="s">
        <v>167</v>
      </c>
      <c r="B12" s="6" t="s">
        <v>41</v>
      </c>
      <c r="C12" s="6" t="s">
        <v>11</v>
      </c>
      <c r="D12" s="7" t="s">
        <v>387</v>
      </c>
    </row>
    <row r="13" spans="1:4" x14ac:dyDescent="0.55000000000000004">
      <c r="A13" s="6" t="s">
        <v>107</v>
      </c>
      <c r="B13" s="6" t="s">
        <v>59</v>
      </c>
      <c r="C13" s="6" t="s">
        <v>32</v>
      </c>
      <c r="D13" s="7" t="s">
        <v>388</v>
      </c>
    </row>
    <row r="14" spans="1:4" x14ac:dyDescent="0.55000000000000004">
      <c r="A14" s="6" t="s">
        <v>177</v>
      </c>
      <c r="B14" s="6" t="s">
        <v>42</v>
      </c>
      <c r="C14" s="6" t="s">
        <v>31</v>
      </c>
      <c r="D14" s="7" t="s">
        <v>389</v>
      </c>
    </row>
    <row r="15" spans="1:4" x14ac:dyDescent="0.55000000000000004">
      <c r="A15" s="6" t="s">
        <v>643</v>
      </c>
      <c r="B15" s="6" t="s">
        <v>644</v>
      </c>
      <c r="C15" s="6" t="s">
        <v>10</v>
      </c>
      <c r="D15" s="7" t="s">
        <v>645</v>
      </c>
    </row>
    <row r="16" spans="1:4" x14ac:dyDescent="0.55000000000000004">
      <c r="A16" s="6" t="s">
        <v>263</v>
      </c>
      <c r="B16" s="6" t="s">
        <v>309</v>
      </c>
      <c r="C16" s="6" t="s">
        <v>264</v>
      </c>
      <c r="D16" s="7" t="s">
        <v>390</v>
      </c>
    </row>
    <row r="17" spans="1:4" x14ac:dyDescent="0.55000000000000004">
      <c r="A17" s="6" t="s">
        <v>265</v>
      </c>
      <c r="B17" s="6" t="s">
        <v>310</v>
      </c>
      <c r="C17" s="6" t="s">
        <v>264</v>
      </c>
      <c r="D17" s="7" t="s">
        <v>391</v>
      </c>
    </row>
    <row r="18" spans="1:4" x14ac:dyDescent="0.55000000000000004">
      <c r="A18" s="6" t="s">
        <v>178</v>
      </c>
      <c r="B18" s="6" t="s">
        <v>86</v>
      </c>
      <c r="C18" s="6" t="s">
        <v>31</v>
      </c>
      <c r="D18" s="7" t="s">
        <v>392</v>
      </c>
    </row>
    <row r="19" spans="1:4" x14ac:dyDescent="0.55000000000000004">
      <c r="A19" s="6" t="s">
        <v>204</v>
      </c>
      <c r="B19" s="6" t="s">
        <v>72</v>
      </c>
      <c r="C19" s="6" t="s">
        <v>26</v>
      </c>
      <c r="D19" s="7" t="s">
        <v>393</v>
      </c>
    </row>
    <row r="20" spans="1:4" x14ac:dyDescent="0.55000000000000004">
      <c r="A20" s="6" t="s">
        <v>232</v>
      </c>
      <c r="B20" s="6" t="s">
        <v>494</v>
      </c>
      <c r="C20" s="6" t="s">
        <v>10</v>
      </c>
      <c r="D20" s="7" t="s">
        <v>394</v>
      </c>
    </row>
    <row r="21" spans="1:4" x14ac:dyDescent="0.55000000000000004">
      <c r="A21" s="6" t="s">
        <v>124</v>
      </c>
      <c r="B21" s="6" t="s">
        <v>60</v>
      </c>
      <c r="C21" s="6" t="s">
        <v>32</v>
      </c>
      <c r="D21" s="7" t="s">
        <v>395</v>
      </c>
    </row>
    <row r="22" spans="1:4" x14ac:dyDescent="0.55000000000000004">
      <c r="A22" s="6" t="s">
        <v>123</v>
      </c>
      <c r="B22" s="6" t="s">
        <v>56</v>
      </c>
      <c r="C22" s="6" t="s">
        <v>32</v>
      </c>
      <c r="D22" s="7" t="s">
        <v>396</v>
      </c>
    </row>
    <row r="23" spans="1:4" x14ac:dyDescent="0.55000000000000004">
      <c r="A23" s="6" t="s">
        <v>140</v>
      </c>
      <c r="B23" s="6" t="s">
        <v>291</v>
      </c>
      <c r="C23" s="6" t="s">
        <v>21</v>
      </c>
      <c r="D23" s="7" t="s">
        <v>397</v>
      </c>
    </row>
    <row r="24" spans="1:4" x14ac:dyDescent="0.55000000000000004">
      <c r="A24" s="6" t="s">
        <v>141</v>
      </c>
      <c r="B24" s="6" t="s">
        <v>52</v>
      </c>
      <c r="C24" s="6" t="s">
        <v>21</v>
      </c>
      <c r="D24" s="7" t="s">
        <v>398</v>
      </c>
    </row>
    <row r="25" spans="1:4" x14ac:dyDescent="0.55000000000000004">
      <c r="A25" s="6" t="s">
        <v>646</v>
      </c>
      <c r="B25" s="6" t="s">
        <v>647</v>
      </c>
      <c r="C25" s="6" t="s">
        <v>21</v>
      </c>
      <c r="D25" s="7" t="s">
        <v>648</v>
      </c>
    </row>
    <row r="26" spans="1:4" x14ac:dyDescent="0.55000000000000004">
      <c r="A26" s="6" t="s">
        <v>108</v>
      </c>
      <c r="B26" s="6" t="s">
        <v>64</v>
      </c>
      <c r="C26" s="6" t="s">
        <v>32</v>
      </c>
      <c r="D26" s="7" t="s">
        <v>399</v>
      </c>
    </row>
    <row r="27" spans="1:4" x14ac:dyDescent="0.55000000000000004">
      <c r="A27" s="6" t="s">
        <v>109</v>
      </c>
      <c r="B27" s="6" t="s">
        <v>311</v>
      </c>
      <c r="C27" s="6" t="s">
        <v>32</v>
      </c>
      <c r="D27" s="7" t="s">
        <v>400</v>
      </c>
    </row>
    <row r="28" spans="1:4" x14ac:dyDescent="0.55000000000000004">
      <c r="A28" s="6" t="s">
        <v>205</v>
      </c>
      <c r="B28" s="6" t="s">
        <v>206</v>
      </c>
      <c r="C28" s="6" t="s">
        <v>26</v>
      </c>
      <c r="D28" s="7" t="s">
        <v>401</v>
      </c>
    </row>
    <row r="29" spans="1:4" x14ac:dyDescent="0.55000000000000004">
      <c r="A29" s="6" t="s">
        <v>157</v>
      </c>
      <c r="B29" s="6" t="s">
        <v>48</v>
      </c>
      <c r="C29" s="6" t="s">
        <v>16</v>
      </c>
      <c r="D29" s="7" t="s">
        <v>402</v>
      </c>
    </row>
    <row r="30" spans="1:4" ht="28.8" x14ac:dyDescent="0.55000000000000004">
      <c r="A30" s="6" t="s">
        <v>650</v>
      </c>
      <c r="B30" s="6" t="s">
        <v>652</v>
      </c>
      <c r="C30" s="6" t="s">
        <v>264</v>
      </c>
      <c r="D30" s="7" t="s">
        <v>656</v>
      </c>
    </row>
    <row r="31" spans="1:4" ht="28.8" x14ac:dyDescent="0.55000000000000004">
      <c r="A31" s="6" t="s">
        <v>651</v>
      </c>
      <c r="B31" s="6" t="s">
        <v>653</v>
      </c>
      <c r="C31" s="6" t="s">
        <v>264</v>
      </c>
      <c r="D31" s="7" t="s">
        <v>655</v>
      </c>
    </row>
    <row r="32" spans="1:4" x14ac:dyDescent="0.55000000000000004">
      <c r="A32" s="6" t="s">
        <v>328</v>
      </c>
      <c r="B32" s="6" t="s">
        <v>340</v>
      </c>
      <c r="C32" s="6" t="s">
        <v>264</v>
      </c>
      <c r="D32" s="7" t="s">
        <v>12</v>
      </c>
    </row>
    <row r="33" spans="1:4" x14ac:dyDescent="0.55000000000000004">
      <c r="A33" s="6" t="s">
        <v>329</v>
      </c>
      <c r="B33" s="6" t="s">
        <v>341</v>
      </c>
      <c r="C33" s="6" t="s">
        <v>264</v>
      </c>
      <c r="D33" s="7" t="s">
        <v>12</v>
      </c>
    </row>
    <row r="34" spans="1:4" x14ac:dyDescent="0.55000000000000004">
      <c r="A34" s="6" t="s">
        <v>360</v>
      </c>
      <c r="B34" s="6" t="s">
        <v>362</v>
      </c>
      <c r="C34" s="6" t="s">
        <v>264</v>
      </c>
      <c r="D34" s="7" t="s">
        <v>12</v>
      </c>
    </row>
    <row r="35" spans="1:4" x14ac:dyDescent="0.55000000000000004">
      <c r="A35" s="6" t="s">
        <v>361</v>
      </c>
      <c r="B35" s="6" t="s">
        <v>363</v>
      </c>
      <c r="C35" s="6" t="s">
        <v>264</v>
      </c>
      <c r="D35" s="7" t="s">
        <v>12</v>
      </c>
    </row>
    <row r="36" spans="1:4" x14ac:dyDescent="0.55000000000000004">
      <c r="A36" s="6" t="s">
        <v>279</v>
      </c>
      <c r="B36" s="6" t="s">
        <v>65</v>
      </c>
      <c r="C36" s="6" t="s">
        <v>32</v>
      </c>
      <c r="D36" s="7" t="s">
        <v>403</v>
      </c>
    </row>
    <row r="37" spans="1:4" x14ac:dyDescent="0.55000000000000004">
      <c r="A37" s="6" t="s">
        <v>207</v>
      </c>
      <c r="B37" s="6" t="s">
        <v>71</v>
      </c>
      <c r="C37" s="6" t="s">
        <v>26</v>
      </c>
      <c r="D37" s="7" t="s">
        <v>404</v>
      </c>
    </row>
    <row r="38" spans="1:4" x14ac:dyDescent="0.55000000000000004">
      <c r="A38" s="6" t="s">
        <v>287</v>
      </c>
      <c r="B38" s="6" t="s">
        <v>495</v>
      </c>
      <c r="C38" s="6" t="s">
        <v>26</v>
      </c>
      <c r="D38" s="7" t="s">
        <v>496</v>
      </c>
    </row>
    <row r="39" spans="1:4" x14ac:dyDescent="0.55000000000000004">
      <c r="A39" s="6" t="s">
        <v>224</v>
      </c>
      <c r="B39" s="6" t="s">
        <v>92</v>
      </c>
      <c r="C39" s="6" t="s">
        <v>23</v>
      </c>
      <c r="D39" s="7" t="s">
        <v>405</v>
      </c>
    </row>
    <row r="40" spans="1:4" x14ac:dyDescent="0.55000000000000004">
      <c r="A40" s="6" t="s">
        <v>233</v>
      </c>
      <c r="B40" s="6" t="s">
        <v>97</v>
      </c>
      <c r="C40" s="6" t="s">
        <v>10</v>
      </c>
      <c r="D40" s="7" t="s">
        <v>406</v>
      </c>
    </row>
    <row r="41" spans="1:4" x14ac:dyDescent="0.55000000000000004">
      <c r="A41" s="6" t="s">
        <v>234</v>
      </c>
      <c r="B41" s="6" t="s">
        <v>79</v>
      </c>
      <c r="C41" s="6" t="s">
        <v>10</v>
      </c>
      <c r="D41" s="7" t="s">
        <v>407</v>
      </c>
    </row>
    <row r="42" spans="1:4" x14ac:dyDescent="0.55000000000000004">
      <c r="A42" s="6" t="s">
        <v>235</v>
      </c>
      <c r="B42" s="6" t="s">
        <v>35</v>
      </c>
      <c r="C42" s="6" t="s">
        <v>10</v>
      </c>
      <c r="D42" s="7" t="s">
        <v>408</v>
      </c>
    </row>
    <row r="43" spans="1:4" x14ac:dyDescent="0.55000000000000004">
      <c r="A43" s="6" t="s">
        <v>236</v>
      </c>
      <c r="B43" s="6" t="s">
        <v>237</v>
      </c>
      <c r="C43" s="6" t="s">
        <v>10</v>
      </c>
      <c r="D43" s="7" t="s">
        <v>409</v>
      </c>
    </row>
    <row r="44" spans="1:4" x14ac:dyDescent="0.55000000000000004">
      <c r="A44" s="6" t="s">
        <v>158</v>
      </c>
      <c r="B44" s="6" t="s">
        <v>159</v>
      </c>
      <c r="C44" s="6" t="s">
        <v>16</v>
      </c>
      <c r="D44" s="7" t="s">
        <v>410</v>
      </c>
    </row>
    <row r="45" spans="1:4" x14ac:dyDescent="0.55000000000000004">
      <c r="A45" s="6" t="s">
        <v>299</v>
      </c>
      <c r="B45" s="6" t="s">
        <v>300</v>
      </c>
      <c r="C45" s="6" t="s">
        <v>16</v>
      </c>
      <c r="D45" s="7" t="s">
        <v>411</v>
      </c>
    </row>
    <row r="46" spans="1:4" x14ac:dyDescent="0.55000000000000004">
      <c r="A46" s="6" t="s">
        <v>179</v>
      </c>
      <c r="B46" s="6" t="s">
        <v>40</v>
      </c>
      <c r="C46" s="6" t="s">
        <v>31</v>
      </c>
      <c r="D46" s="7" t="s">
        <v>412</v>
      </c>
    </row>
    <row r="47" spans="1:4" x14ac:dyDescent="0.55000000000000004">
      <c r="A47" s="6" t="s">
        <v>142</v>
      </c>
      <c r="B47" s="6" t="s">
        <v>143</v>
      </c>
      <c r="C47" s="6" t="s">
        <v>21</v>
      </c>
      <c r="D47" s="7" t="s">
        <v>413</v>
      </c>
    </row>
    <row r="48" spans="1:4" x14ac:dyDescent="0.55000000000000004">
      <c r="A48" s="6" t="s">
        <v>160</v>
      </c>
      <c r="B48" s="6" t="s">
        <v>49</v>
      </c>
      <c r="C48" s="6" t="s">
        <v>16</v>
      </c>
      <c r="D48" s="7" t="s">
        <v>414</v>
      </c>
    </row>
    <row r="49" spans="1:4" x14ac:dyDescent="0.55000000000000004">
      <c r="A49" s="6" t="s">
        <v>293</v>
      </c>
      <c r="B49" s="6" t="s">
        <v>294</v>
      </c>
      <c r="C49" s="6" t="s">
        <v>16</v>
      </c>
      <c r="D49" s="7" t="s">
        <v>415</v>
      </c>
    </row>
    <row r="50" spans="1:4" x14ac:dyDescent="0.55000000000000004">
      <c r="A50" s="6" t="s">
        <v>144</v>
      </c>
      <c r="B50" s="6" t="s">
        <v>145</v>
      </c>
      <c r="C50" s="6" t="s">
        <v>21</v>
      </c>
      <c r="D50" s="7" t="s">
        <v>416</v>
      </c>
    </row>
    <row r="51" spans="1:4" x14ac:dyDescent="0.55000000000000004">
      <c r="A51" s="6" t="s">
        <v>146</v>
      </c>
      <c r="B51" s="6" t="s">
        <v>147</v>
      </c>
      <c r="C51" s="6" t="s">
        <v>21</v>
      </c>
      <c r="D51" s="7" t="s">
        <v>417</v>
      </c>
    </row>
    <row r="52" spans="1:4" x14ac:dyDescent="0.55000000000000004">
      <c r="A52" s="6" t="s">
        <v>110</v>
      </c>
      <c r="B52" s="6" t="s">
        <v>63</v>
      </c>
      <c r="C52" s="6" t="s">
        <v>32</v>
      </c>
      <c r="D52" s="7" t="s">
        <v>418</v>
      </c>
    </row>
    <row r="53" spans="1:4" x14ac:dyDescent="0.55000000000000004">
      <c r="A53" s="6" t="s">
        <v>238</v>
      </c>
      <c r="B53" s="6" t="s">
        <v>239</v>
      </c>
      <c r="C53" s="6" t="s">
        <v>10</v>
      </c>
      <c r="D53" s="7" t="s">
        <v>419</v>
      </c>
    </row>
    <row r="54" spans="1:4" x14ac:dyDescent="0.55000000000000004">
      <c r="A54" s="6" t="s">
        <v>168</v>
      </c>
      <c r="B54" s="6" t="s">
        <v>169</v>
      </c>
      <c r="C54" s="6" t="s">
        <v>11</v>
      </c>
      <c r="D54" s="7" t="s">
        <v>22</v>
      </c>
    </row>
    <row r="55" spans="1:4" x14ac:dyDescent="0.55000000000000004">
      <c r="A55" s="6" t="s">
        <v>240</v>
      </c>
      <c r="B55" s="6" t="s">
        <v>77</v>
      </c>
      <c r="C55" s="6" t="s">
        <v>10</v>
      </c>
      <c r="D55" s="7" t="s">
        <v>420</v>
      </c>
    </row>
    <row r="56" spans="1:4" x14ac:dyDescent="0.55000000000000004">
      <c r="A56" s="6" t="s">
        <v>170</v>
      </c>
      <c r="B56" s="6" t="s">
        <v>171</v>
      </c>
      <c r="C56" s="6" t="s">
        <v>11</v>
      </c>
      <c r="D56" s="7" t="s">
        <v>421</v>
      </c>
    </row>
    <row r="57" spans="1:4" x14ac:dyDescent="0.55000000000000004">
      <c r="A57" s="6" t="s">
        <v>266</v>
      </c>
      <c r="B57" s="6" t="s">
        <v>267</v>
      </c>
      <c r="C57" s="6" t="s">
        <v>264</v>
      </c>
      <c r="D57" s="7" t="s">
        <v>422</v>
      </c>
    </row>
    <row r="58" spans="1:4" x14ac:dyDescent="0.55000000000000004">
      <c r="A58" s="6" t="s">
        <v>208</v>
      </c>
      <c r="B58" s="6" t="s">
        <v>73</v>
      </c>
      <c r="C58" s="6" t="s">
        <v>26</v>
      </c>
      <c r="D58" s="7" t="s">
        <v>423</v>
      </c>
    </row>
    <row r="59" spans="1:4" x14ac:dyDescent="0.55000000000000004">
      <c r="A59" s="6" t="s">
        <v>241</v>
      </c>
      <c r="B59" s="6" t="s">
        <v>78</v>
      </c>
      <c r="C59" s="6" t="s">
        <v>10</v>
      </c>
      <c r="D59" s="7" t="s">
        <v>424</v>
      </c>
    </row>
    <row r="60" spans="1:4" x14ac:dyDescent="0.55000000000000004">
      <c r="A60" s="6" t="s">
        <v>209</v>
      </c>
      <c r="B60" s="6" t="s">
        <v>99</v>
      </c>
      <c r="C60" s="6" t="s">
        <v>26</v>
      </c>
      <c r="D60" s="7" t="s">
        <v>425</v>
      </c>
    </row>
    <row r="61" spans="1:4" x14ac:dyDescent="0.55000000000000004">
      <c r="A61" s="6" t="s">
        <v>210</v>
      </c>
      <c r="B61" s="6" t="s">
        <v>75</v>
      </c>
      <c r="C61" s="6" t="s">
        <v>26</v>
      </c>
      <c r="D61" s="7" t="s">
        <v>426</v>
      </c>
    </row>
    <row r="62" spans="1:4" x14ac:dyDescent="0.55000000000000004">
      <c r="A62" s="6" t="s">
        <v>368</v>
      </c>
      <c r="B62" s="6" t="s">
        <v>369</v>
      </c>
      <c r="C62" s="6" t="s">
        <v>31</v>
      </c>
      <c r="D62" s="7" t="s">
        <v>2220</v>
      </c>
    </row>
    <row r="63" spans="1:4" x14ac:dyDescent="0.55000000000000004">
      <c r="A63" s="6" t="s">
        <v>497</v>
      </c>
      <c r="B63" s="6" t="s">
        <v>498</v>
      </c>
      <c r="C63" s="6" t="s">
        <v>31</v>
      </c>
      <c r="D63" s="7" t="s">
        <v>499</v>
      </c>
    </row>
    <row r="64" spans="1:4" x14ac:dyDescent="0.55000000000000004">
      <c r="A64" s="6" t="s">
        <v>286</v>
      </c>
      <c r="B64" s="6" t="s">
        <v>66</v>
      </c>
      <c r="C64" s="6" t="s">
        <v>26</v>
      </c>
      <c r="D64" s="7" t="s">
        <v>500</v>
      </c>
    </row>
    <row r="65" spans="1:4" x14ac:dyDescent="0.55000000000000004">
      <c r="A65" s="6" t="s">
        <v>290</v>
      </c>
      <c r="B65" s="6" t="s">
        <v>501</v>
      </c>
      <c r="C65" s="6" t="s">
        <v>26</v>
      </c>
      <c r="D65" s="7" t="s">
        <v>502</v>
      </c>
    </row>
    <row r="66" spans="1:4" x14ac:dyDescent="0.55000000000000004">
      <c r="A66" s="6" t="s">
        <v>289</v>
      </c>
      <c r="B66" s="6" t="s">
        <v>503</v>
      </c>
      <c r="C66" s="6" t="s">
        <v>26</v>
      </c>
      <c r="D66" s="7" t="s">
        <v>504</v>
      </c>
    </row>
    <row r="67" spans="1:4" x14ac:dyDescent="0.55000000000000004">
      <c r="A67" s="6" t="s">
        <v>288</v>
      </c>
      <c r="B67" s="6" t="s">
        <v>67</v>
      </c>
      <c r="C67" s="6" t="s">
        <v>26</v>
      </c>
      <c r="D67" s="7" t="s">
        <v>505</v>
      </c>
    </row>
    <row r="68" spans="1:4" x14ac:dyDescent="0.55000000000000004">
      <c r="A68" s="6" t="s">
        <v>172</v>
      </c>
      <c r="B68" s="6" t="s">
        <v>55</v>
      </c>
      <c r="C68" s="6" t="s">
        <v>11</v>
      </c>
      <c r="D68" s="7" t="s">
        <v>427</v>
      </c>
    </row>
    <row r="69" spans="1:4" x14ac:dyDescent="0.55000000000000004">
      <c r="A69" s="6" t="s">
        <v>161</v>
      </c>
      <c r="B69" s="6" t="s">
        <v>162</v>
      </c>
      <c r="C69" s="6" t="s">
        <v>16</v>
      </c>
      <c r="D69" s="7" t="s">
        <v>428</v>
      </c>
    </row>
    <row r="70" spans="1:4" x14ac:dyDescent="0.55000000000000004">
      <c r="A70" s="6" t="s">
        <v>111</v>
      </c>
      <c r="B70" s="6" t="s">
        <v>112</v>
      </c>
      <c r="C70" s="6" t="s">
        <v>32</v>
      </c>
      <c r="D70" s="7" t="s">
        <v>429</v>
      </c>
    </row>
    <row r="71" spans="1:4" x14ac:dyDescent="0.55000000000000004">
      <c r="A71" s="6" t="s">
        <v>211</v>
      </c>
      <c r="B71" s="6" t="s">
        <v>212</v>
      </c>
      <c r="C71" s="6" t="s">
        <v>26</v>
      </c>
      <c r="D71" s="7" t="s">
        <v>430</v>
      </c>
    </row>
    <row r="72" spans="1:4" x14ac:dyDescent="0.55000000000000004">
      <c r="A72" s="6" t="s">
        <v>113</v>
      </c>
      <c r="B72" s="6" t="s">
        <v>114</v>
      </c>
      <c r="C72" s="6" t="s">
        <v>32</v>
      </c>
      <c r="D72" s="7" t="s">
        <v>431</v>
      </c>
    </row>
    <row r="73" spans="1:4" x14ac:dyDescent="0.55000000000000004">
      <c r="A73" s="6" t="s">
        <v>149</v>
      </c>
      <c r="B73" s="6" t="s">
        <v>150</v>
      </c>
      <c r="C73" s="6" t="s">
        <v>21</v>
      </c>
      <c r="D73" s="7" t="s">
        <v>432</v>
      </c>
    </row>
    <row r="74" spans="1:4" x14ac:dyDescent="0.55000000000000004">
      <c r="A74" s="6" t="s">
        <v>268</v>
      </c>
      <c r="B74" s="6" t="s">
        <v>76</v>
      </c>
      <c r="C74" s="6" t="s">
        <v>264</v>
      </c>
      <c r="D74" s="7" t="s">
        <v>433</v>
      </c>
    </row>
    <row r="75" spans="1:4" x14ac:dyDescent="0.55000000000000004">
      <c r="A75" s="6" t="s">
        <v>302</v>
      </c>
      <c r="B75" s="6" t="s">
        <v>365</v>
      </c>
      <c r="C75" s="6" t="s">
        <v>10</v>
      </c>
      <c r="D75" s="7" t="s">
        <v>506</v>
      </c>
    </row>
    <row r="76" spans="1:4" x14ac:dyDescent="0.55000000000000004">
      <c r="A76" s="6" t="s">
        <v>242</v>
      </c>
      <c r="B76" s="6" t="s">
        <v>39</v>
      </c>
      <c r="C76" s="6" t="s">
        <v>10</v>
      </c>
      <c r="D76" s="7" t="s">
        <v>13</v>
      </c>
    </row>
    <row r="77" spans="1:4" x14ac:dyDescent="0.55000000000000004">
      <c r="A77" s="6" t="s">
        <v>225</v>
      </c>
      <c r="B77" s="6" t="s">
        <v>226</v>
      </c>
      <c r="C77" s="6" t="s">
        <v>23</v>
      </c>
      <c r="D77" s="7" t="s">
        <v>24</v>
      </c>
    </row>
    <row r="78" spans="1:4" x14ac:dyDescent="0.55000000000000004">
      <c r="A78" s="6" t="s">
        <v>213</v>
      </c>
      <c r="B78" s="6" t="s">
        <v>74</v>
      </c>
      <c r="C78" s="6" t="s">
        <v>26</v>
      </c>
      <c r="D78" s="7" t="s">
        <v>434</v>
      </c>
    </row>
    <row r="79" spans="1:4" x14ac:dyDescent="0.55000000000000004">
      <c r="A79" s="6" t="s">
        <v>148</v>
      </c>
      <c r="B79" s="6" t="s">
        <v>660</v>
      </c>
      <c r="C79" s="6" t="s">
        <v>21</v>
      </c>
      <c r="D79" s="7" t="s">
        <v>661</v>
      </c>
    </row>
    <row r="80" spans="1:4" x14ac:dyDescent="0.55000000000000004">
      <c r="A80" s="6" t="s">
        <v>180</v>
      </c>
      <c r="B80" s="6" t="s">
        <v>181</v>
      </c>
      <c r="C80" s="6" t="s">
        <v>31</v>
      </c>
      <c r="D80" s="7" t="s">
        <v>15</v>
      </c>
    </row>
    <row r="81" spans="1:4" x14ac:dyDescent="0.55000000000000004">
      <c r="A81" s="6" t="s">
        <v>182</v>
      </c>
      <c r="B81" s="6" t="s">
        <v>84</v>
      </c>
      <c r="C81" s="6" t="s">
        <v>31</v>
      </c>
      <c r="D81" s="7" t="s">
        <v>435</v>
      </c>
    </row>
    <row r="82" spans="1:4" x14ac:dyDescent="0.55000000000000004">
      <c r="A82" s="6" t="s">
        <v>183</v>
      </c>
      <c r="B82" s="6" t="s">
        <v>90</v>
      </c>
      <c r="C82" s="6" t="s">
        <v>31</v>
      </c>
      <c r="D82" s="7" t="s">
        <v>436</v>
      </c>
    </row>
    <row r="83" spans="1:4" x14ac:dyDescent="0.55000000000000004">
      <c r="A83" s="6" t="s">
        <v>184</v>
      </c>
      <c r="B83" s="6" t="s">
        <v>185</v>
      </c>
      <c r="C83" s="6" t="s">
        <v>31</v>
      </c>
      <c r="D83" s="7" t="s">
        <v>25</v>
      </c>
    </row>
    <row r="84" spans="1:4" x14ac:dyDescent="0.55000000000000004">
      <c r="A84" s="6" t="s">
        <v>186</v>
      </c>
      <c r="B84" s="6" t="s">
        <v>187</v>
      </c>
      <c r="C84" s="6" t="s">
        <v>31</v>
      </c>
      <c r="D84" s="7" t="s">
        <v>437</v>
      </c>
    </row>
    <row r="85" spans="1:4" x14ac:dyDescent="0.55000000000000004">
      <c r="A85" s="6" t="s">
        <v>312</v>
      </c>
      <c r="B85" s="6" t="s">
        <v>313</v>
      </c>
      <c r="C85" s="6" t="s">
        <v>31</v>
      </c>
      <c r="D85" s="7" t="s">
        <v>438</v>
      </c>
    </row>
    <row r="86" spans="1:4" x14ac:dyDescent="0.55000000000000004">
      <c r="A86" s="6" t="s">
        <v>274</v>
      </c>
      <c r="B86" s="6" t="s">
        <v>45</v>
      </c>
      <c r="C86" s="6" t="s">
        <v>31</v>
      </c>
      <c r="D86" s="7" t="s">
        <v>2221</v>
      </c>
    </row>
    <row r="87" spans="1:4" x14ac:dyDescent="0.55000000000000004">
      <c r="A87" s="6" t="s">
        <v>188</v>
      </c>
      <c r="B87" s="6" t="s">
        <v>102</v>
      </c>
      <c r="C87" s="6" t="s">
        <v>31</v>
      </c>
      <c r="D87" s="7" t="s">
        <v>439</v>
      </c>
    </row>
    <row r="88" spans="1:4" x14ac:dyDescent="0.55000000000000004">
      <c r="A88" s="6" t="s">
        <v>115</v>
      </c>
      <c r="B88" s="6" t="s">
        <v>61</v>
      </c>
      <c r="C88" s="6" t="s">
        <v>32</v>
      </c>
      <c r="D88" s="7" t="s">
        <v>440</v>
      </c>
    </row>
    <row r="89" spans="1:4" x14ac:dyDescent="0.55000000000000004">
      <c r="A89" s="6" t="s">
        <v>116</v>
      </c>
      <c r="B89" s="6" t="s">
        <v>117</v>
      </c>
      <c r="C89" s="6" t="s">
        <v>32</v>
      </c>
      <c r="D89" s="7" t="s">
        <v>441</v>
      </c>
    </row>
    <row r="90" spans="1:4" x14ac:dyDescent="0.55000000000000004">
      <c r="A90" s="6" t="s">
        <v>189</v>
      </c>
      <c r="B90" s="6" t="s">
        <v>85</v>
      </c>
      <c r="C90" s="6" t="s">
        <v>31</v>
      </c>
      <c r="D90" s="7" t="s">
        <v>442</v>
      </c>
    </row>
    <row r="91" spans="1:4" x14ac:dyDescent="0.55000000000000004">
      <c r="A91" s="6" t="s">
        <v>118</v>
      </c>
      <c r="B91" s="6" t="s">
        <v>119</v>
      </c>
      <c r="C91" s="6" t="s">
        <v>32</v>
      </c>
      <c r="D91" s="7" t="s">
        <v>443</v>
      </c>
    </row>
    <row r="92" spans="1:4" x14ac:dyDescent="0.55000000000000004">
      <c r="A92" s="6" t="s">
        <v>326</v>
      </c>
      <c r="B92" s="6" t="s">
        <v>344</v>
      </c>
      <c r="C92" s="6" t="s">
        <v>32</v>
      </c>
      <c r="D92" s="7" t="s">
        <v>345</v>
      </c>
    </row>
    <row r="93" spans="1:4" ht="28.8" x14ac:dyDescent="0.55000000000000004">
      <c r="A93" s="6" t="s">
        <v>284</v>
      </c>
      <c r="B93" s="6" t="s">
        <v>2230</v>
      </c>
      <c r="C93" s="6" t="s">
        <v>11</v>
      </c>
      <c r="D93" s="7" t="s">
        <v>2228</v>
      </c>
    </row>
    <row r="94" spans="1:4" ht="28.8" x14ac:dyDescent="0.55000000000000004">
      <c r="A94" s="6" t="s">
        <v>2229</v>
      </c>
      <c r="B94" s="6" t="s">
        <v>37</v>
      </c>
      <c r="C94" s="6" t="s">
        <v>11</v>
      </c>
      <c r="D94" s="7" t="s">
        <v>2228</v>
      </c>
    </row>
    <row r="95" spans="1:4" x14ac:dyDescent="0.55000000000000004">
      <c r="A95" s="6" t="s">
        <v>120</v>
      </c>
      <c r="B95" s="6" t="s">
        <v>58</v>
      </c>
      <c r="C95" s="6" t="s">
        <v>32</v>
      </c>
      <c r="D95" s="7" t="s">
        <v>444</v>
      </c>
    </row>
    <row r="96" spans="1:4" x14ac:dyDescent="0.55000000000000004">
      <c r="A96" s="6" t="s">
        <v>163</v>
      </c>
      <c r="B96" s="6" t="s">
        <v>91</v>
      </c>
      <c r="C96" s="6" t="s">
        <v>16</v>
      </c>
      <c r="D96" s="7" t="s">
        <v>19</v>
      </c>
    </row>
    <row r="97" spans="1:4" x14ac:dyDescent="0.55000000000000004">
      <c r="A97" s="6" t="s">
        <v>297</v>
      </c>
      <c r="B97" s="6" t="s">
        <v>298</v>
      </c>
      <c r="C97" s="6" t="s">
        <v>16</v>
      </c>
      <c r="D97" s="7" t="s">
        <v>445</v>
      </c>
    </row>
    <row r="98" spans="1:4" x14ac:dyDescent="0.55000000000000004">
      <c r="A98" s="6" t="s">
        <v>662</v>
      </c>
      <c r="B98" s="6" t="s">
        <v>663</v>
      </c>
      <c r="C98" s="6" t="s">
        <v>11</v>
      </c>
      <c r="D98" s="7" t="s">
        <v>664</v>
      </c>
    </row>
    <row r="99" spans="1:4" x14ac:dyDescent="0.55000000000000004">
      <c r="A99" s="6" t="s">
        <v>665</v>
      </c>
      <c r="B99" s="6" t="s">
        <v>666</v>
      </c>
      <c r="C99" s="6" t="s">
        <v>264</v>
      </c>
      <c r="D99" s="7" t="s">
        <v>667</v>
      </c>
    </row>
    <row r="100" spans="1:4" x14ac:dyDescent="0.55000000000000004">
      <c r="A100" s="6" t="s">
        <v>214</v>
      </c>
      <c r="B100" s="6" t="s">
        <v>215</v>
      </c>
      <c r="C100" s="6" t="s">
        <v>26</v>
      </c>
      <c r="D100" s="7" t="s">
        <v>668</v>
      </c>
    </row>
    <row r="101" spans="1:4" x14ac:dyDescent="0.55000000000000004">
      <c r="A101" s="6" t="s">
        <v>151</v>
      </c>
      <c r="B101" s="6" t="s">
        <v>88</v>
      </c>
      <c r="C101" s="6" t="s">
        <v>21</v>
      </c>
      <c r="D101" s="7" t="s">
        <v>446</v>
      </c>
    </row>
    <row r="102" spans="1:4" x14ac:dyDescent="0.55000000000000004">
      <c r="A102" s="6" t="s">
        <v>243</v>
      </c>
      <c r="B102" s="6" t="s">
        <v>34</v>
      </c>
      <c r="C102" s="6" t="s">
        <v>10</v>
      </c>
      <c r="D102" s="7" t="s">
        <v>447</v>
      </c>
    </row>
    <row r="103" spans="1:4" x14ac:dyDescent="0.55000000000000004">
      <c r="A103" s="6" t="s">
        <v>197</v>
      </c>
      <c r="B103" s="6" t="s">
        <v>198</v>
      </c>
      <c r="C103" s="6" t="s">
        <v>31</v>
      </c>
      <c r="D103" s="7" t="s">
        <v>448</v>
      </c>
    </row>
    <row r="104" spans="1:4" x14ac:dyDescent="0.55000000000000004">
      <c r="A104" s="6" t="s">
        <v>507</v>
      </c>
      <c r="B104" s="6" t="s">
        <v>508</v>
      </c>
      <c r="C104" s="6" t="s">
        <v>31</v>
      </c>
      <c r="D104" s="7" t="s">
        <v>509</v>
      </c>
    </row>
    <row r="105" spans="1:4" x14ac:dyDescent="0.55000000000000004">
      <c r="A105" s="6" t="s">
        <v>347</v>
      </c>
      <c r="B105" s="6" t="s">
        <v>348</v>
      </c>
      <c r="C105" s="6" t="s">
        <v>264</v>
      </c>
      <c r="D105" s="7" t="s">
        <v>12</v>
      </c>
    </row>
    <row r="106" spans="1:4" x14ac:dyDescent="0.55000000000000004">
      <c r="A106" s="6" t="s">
        <v>346</v>
      </c>
      <c r="B106" s="6" t="s">
        <v>349</v>
      </c>
      <c r="C106" s="6" t="s">
        <v>264</v>
      </c>
      <c r="D106" s="7" t="s">
        <v>12</v>
      </c>
    </row>
    <row r="107" spans="1:4" x14ac:dyDescent="0.55000000000000004">
      <c r="A107" s="6" t="s">
        <v>277</v>
      </c>
      <c r="B107" s="6" t="s">
        <v>314</v>
      </c>
      <c r="C107" s="6" t="s">
        <v>21</v>
      </c>
      <c r="D107" s="7" t="s">
        <v>449</v>
      </c>
    </row>
    <row r="108" spans="1:4" x14ac:dyDescent="0.55000000000000004">
      <c r="A108" s="6" t="s">
        <v>283</v>
      </c>
      <c r="B108" s="6" t="s">
        <v>33</v>
      </c>
      <c r="C108" s="6" t="s">
        <v>31</v>
      </c>
      <c r="D108" s="7" t="s">
        <v>8</v>
      </c>
    </row>
    <row r="109" spans="1:4" x14ac:dyDescent="0.55000000000000004">
      <c r="A109" s="6" t="s">
        <v>252</v>
      </c>
      <c r="B109" s="6" t="s">
        <v>82</v>
      </c>
      <c r="C109" s="6" t="s">
        <v>301</v>
      </c>
      <c r="D109" s="7" t="s">
        <v>450</v>
      </c>
    </row>
    <row r="110" spans="1:4" x14ac:dyDescent="0.55000000000000004">
      <c r="A110" s="6" t="s">
        <v>281</v>
      </c>
      <c r="B110" s="6" t="s">
        <v>81</v>
      </c>
      <c r="C110" s="6" t="s">
        <v>301</v>
      </c>
      <c r="D110" s="7" t="s">
        <v>451</v>
      </c>
    </row>
    <row r="111" spans="1:4" x14ac:dyDescent="0.55000000000000004">
      <c r="A111" s="6" t="s">
        <v>227</v>
      </c>
      <c r="B111" s="6" t="s">
        <v>54</v>
      </c>
      <c r="C111" s="6" t="s">
        <v>23</v>
      </c>
      <c r="D111" s="7" t="s">
        <v>452</v>
      </c>
    </row>
    <row r="112" spans="1:4" x14ac:dyDescent="0.55000000000000004">
      <c r="A112" s="6" t="s">
        <v>253</v>
      </c>
      <c r="B112" s="6" t="s">
        <v>254</v>
      </c>
      <c r="C112" s="6" t="s">
        <v>301</v>
      </c>
      <c r="D112" s="7" t="s">
        <v>453</v>
      </c>
    </row>
    <row r="113" spans="1:4" x14ac:dyDescent="0.55000000000000004">
      <c r="A113" s="6" t="s">
        <v>255</v>
      </c>
      <c r="B113" s="6" t="s">
        <v>256</v>
      </c>
      <c r="C113" s="6" t="s">
        <v>301</v>
      </c>
      <c r="D113" s="7" t="s">
        <v>454</v>
      </c>
    </row>
    <row r="114" spans="1:4" x14ac:dyDescent="0.55000000000000004">
      <c r="A114" s="6" t="s">
        <v>228</v>
      </c>
      <c r="B114" s="6" t="s">
        <v>93</v>
      </c>
      <c r="C114" s="6" t="s">
        <v>23</v>
      </c>
      <c r="D114" s="7" t="s">
        <v>455</v>
      </c>
    </row>
    <row r="115" spans="1:4" x14ac:dyDescent="0.55000000000000004">
      <c r="A115" s="6" t="s">
        <v>216</v>
      </c>
      <c r="B115" s="6" t="s">
        <v>354</v>
      </c>
      <c r="C115" s="6" t="s">
        <v>26</v>
      </c>
      <c r="D115" s="7" t="s">
        <v>355</v>
      </c>
    </row>
    <row r="116" spans="1:4" x14ac:dyDescent="0.55000000000000004">
      <c r="A116" s="6" t="s">
        <v>217</v>
      </c>
      <c r="B116" s="6" t="s">
        <v>356</v>
      </c>
      <c r="C116" s="6" t="s">
        <v>26</v>
      </c>
      <c r="D116" s="7" t="s">
        <v>357</v>
      </c>
    </row>
    <row r="117" spans="1:4" x14ac:dyDescent="0.55000000000000004">
      <c r="A117" s="6" t="s">
        <v>218</v>
      </c>
      <c r="B117" s="6" t="s">
        <v>358</v>
      </c>
      <c r="C117" s="6" t="s">
        <v>26</v>
      </c>
      <c r="D117" s="7" t="s">
        <v>359</v>
      </c>
    </row>
    <row r="118" spans="1:4" x14ac:dyDescent="0.55000000000000004">
      <c r="A118" s="6" t="s">
        <v>152</v>
      </c>
      <c r="B118" s="6" t="s">
        <v>153</v>
      </c>
      <c r="C118" s="6" t="s">
        <v>21</v>
      </c>
      <c r="D118" s="7" t="s">
        <v>456</v>
      </c>
    </row>
    <row r="119" spans="1:4" x14ac:dyDescent="0.55000000000000004">
      <c r="A119" s="6" t="s">
        <v>275</v>
      </c>
      <c r="B119" s="6" t="s">
        <v>46</v>
      </c>
      <c r="C119" s="6" t="s">
        <v>16</v>
      </c>
      <c r="D119" s="7" t="s">
        <v>17</v>
      </c>
    </row>
    <row r="120" spans="1:4" x14ac:dyDescent="0.55000000000000004">
      <c r="A120" s="6" t="s">
        <v>276</v>
      </c>
      <c r="B120" s="6" t="s">
        <v>47</v>
      </c>
      <c r="C120" s="6" t="s">
        <v>16</v>
      </c>
      <c r="D120" s="7" t="s">
        <v>18</v>
      </c>
    </row>
    <row r="121" spans="1:4" x14ac:dyDescent="0.55000000000000004">
      <c r="A121" s="6" t="s">
        <v>269</v>
      </c>
      <c r="B121" s="6" t="s">
        <v>270</v>
      </c>
      <c r="C121" s="6" t="s">
        <v>264</v>
      </c>
      <c r="D121" s="7" t="s">
        <v>457</v>
      </c>
    </row>
    <row r="122" spans="1:4" x14ac:dyDescent="0.55000000000000004">
      <c r="A122" s="6" t="s">
        <v>191</v>
      </c>
      <c r="B122" s="6" t="s">
        <v>366</v>
      </c>
      <c r="C122" s="6" t="s">
        <v>31</v>
      </c>
      <c r="D122" s="7" t="s">
        <v>458</v>
      </c>
    </row>
    <row r="123" spans="1:4" x14ac:dyDescent="0.55000000000000004">
      <c r="A123" s="6" t="s">
        <v>244</v>
      </c>
      <c r="B123" s="6" t="s">
        <v>245</v>
      </c>
      <c r="C123" s="6" t="s">
        <v>10</v>
      </c>
      <c r="D123" s="7" t="s">
        <v>459</v>
      </c>
    </row>
    <row r="124" spans="1:4" x14ac:dyDescent="0.55000000000000004">
      <c r="A124" s="6" t="s">
        <v>303</v>
      </c>
      <c r="B124" s="6" t="s">
        <v>304</v>
      </c>
      <c r="C124" s="6" t="s">
        <v>32</v>
      </c>
      <c r="D124" s="7" t="s">
        <v>460</v>
      </c>
    </row>
    <row r="125" spans="1:4" x14ac:dyDescent="0.55000000000000004">
      <c r="A125" s="6" t="s">
        <v>305</v>
      </c>
      <c r="B125" s="6" t="s">
        <v>306</v>
      </c>
      <c r="C125" s="6" t="s">
        <v>32</v>
      </c>
      <c r="D125" s="7" t="s">
        <v>461</v>
      </c>
    </row>
    <row r="126" spans="1:4" x14ac:dyDescent="0.55000000000000004">
      <c r="A126" s="6" t="s">
        <v>307</v>
      </c>
      <c r="B126" s="6" t="s">
        <v>308</v>
      </c>
      <c r="C126" s="6" t="s">
        <v>32</v>
      </c>
      <c r="D126" s="7" t="s">
        <v>462</v>
      </c>
    </row>
    <row r="127" spans="1:4" x14ac:dyDescent="0.55000000000000004">
      <c r="A127" s="6" t="s">
        <v>121</v>
      </c>
      <c r="B127" s="6" t="s">
        <v>122</v>
      </c>
      <c r="C127" s="6" t="s">
        <v>32</v>
      </c>
      <c r="D127" s="7" t="s">
        <v>463</v>
      </c>
    </row>
    <row r="128" spans="1:4" x14ac:dyDescent="0.55000000000000004">
      <c r="A128" s="6" t="s">
        <v>278</v>
      </c>
      <c r="B128" s="6" t="s">
        <v>285</v>
      </c>
      <c r="C128" s="6" t="s">
        <v>32</v>
      </c>
      <c r="D128" s="7" t="s">
        <v>29</v>
      </c>
    </row>
    <row r="129" spans="1:4" x14ac:dyDescent="0.55000000000000004">
      <c r="A129" s="6" t="s">
        <v>156</v>
      </c>
      <c r="B129" s="6" t="s">
        <v>51</v>
      </c>
      <c r="C129" s="6" t="s">
        <v>21</v>
      </c>
      <c r="D129" s="7" t="s">
        <v>464</v>
      </c>
    </row>
    <row r="130" spans="1:4" x14ac:dyDescent="0.55000000000000004">
      <c r="A130" s="6" t="s">
        <v>154</v>
      </c>
      <c r="B130" s="6" t="s">
        <v>155</v>
      </c>
      <c r="C130" s="6" t="s">
        <v>21</v>
      </c>
      <c r="D130" s="7" t="s">
        <v>465</v>
      </c>
    </row>
    <row r="131" spans="1:4" x14ac:dyDescent="0.55000000000000004">
      <c r="A131" s="6" t="s">
        <v>192</v>
      </c>
      <c r="B131" s="6" t="s">
        <v>43</v>
      </c>
      <c r="C131" s="6" t="s">
        <v>31</v>
      </c>
      <c r="D131" s="7" t="s">
        <v>466</v>
      </c>
    </row>
    <row r="132" spans="1:4" x14ac:dyDescent="0.55000000000000004">
      <c r="A132" s="6" t="s">
        <v>190</v>
      </c>
      <c r="B132" s="6" t="s">
        <v>87</v>
      </c>
      <c r="C132" s="6" t="s">
        <v>31</v>
      </c>
      <c r="D132" s="7" t="s">
        <v>467</v>
      </c>
    </row>
    <row r="133" spans="1:4" x14ac:dyDescent="0.55000000000000004">
      <c r="A133" s="6" t="s">
        <v>324</v>
      </c>
      <c r="B133" s="6" t="s">
        <v>334</v>
      </c>
      <c r="C133" s="6" t="s">
        <v>16</v>
      </c>
      <c r="D133" s="7" t="s">
        <v>335</v>
      </c>
    </row>
    <row r="134" spans="1:4" x14ac:dyDescent="0.55000000000000004">
      <c r="A134" s="6" t="s">
        <v>327</v>
      </c>
      <c r="B134" s="6" t="s">
        <v>338</v>
      </c>
      <c r="C134" s="6" t="s">
        <v>26</v>
      </c>
      <c r="D134" s="7" t="s">
        <v>339</v>
      </c>
    </row>
    <row r="135" spans="1:4" x14ac:dyDescent="0.55000000000000004">
      <c r="A135" s="6" t="s">
        <v>315</v>
      </c>
      <c r="B135" s="6" t="s">
        <v>316</v>
      </c>
      <c r="C135" s="6" t="s">
        <v>16</v>
      </c>
      <c r="D135" s="7" t="s">
        <v>468</v>
      </c>
    </row>
    <row r="136" spans="1:4" x14ac:dyDescent="0.55000000000000004">
      <c r="A136" s="6" t="s">
        <v>317</v>
      </c>
      <c r="B136" s="6" t="s">
        <v>318</v>
      </c>
      <c r="C136" s="6" t="s">
        <v>32</v>
      </c>
      <c r="D136" s="7" t="s">
        <v>469</v>
      </c>
    </row>
    <row r="137" spans="1:4" x14ac:dyDescent="0.55000000000000004">
      <c r="A137" s="6" t="s">
        <v>229</v>
      </c>
      <c r="B137" s="6" t="s">
        <v>100</v>
      </c>
      <c r="C137" s="6" t="s">
        <v>23</v>
      </c>
      <c r="D137" s="7" t="s">
        <v>470</v>
      </c>
    </row>
    <row r="138" spans="1:4" x14ac:dyDescent="0.55000000000000004">
      <c r="A138" s="6" t="s">
        <v>510</v>
      </c>
      <c r="B138" s="6" t="s">
        <v>511</v>
      </c>
      <c r="C138" s="6" t="s">
        <v>31</v>
      </c>
      <c r="D138" s="7" t="s">
        <v>512</v>
      </c>
    </row>
    <row r="139" spans="1:4" x14ac:dyDescent="0.55000000000000004">
      <c r="A139" s="6" t="s">
        <v>257</v>
      </c>
      <c r="B139" s="6" t="s">
        <v>80</v>
      </c>
      <c r="C139" s="6" t="s">
        <v>301</v>
      </c>
      <c r="D139" s="7" t="s">
        <v>471</v>
      </c>
    </row>
    <row r="140" spans="1:4" x14ac:dyDescent="0.55000000000000004">
      <c r="A140" s="6" t="s">
        <v>195</v>
      </c>
      <c r="B140" s="6" t="s">
        <v>44</v>
      </c>
      <c r="C140" s="6" t="s">
        <v>31</v>
      </c>
      <c r="D140" s="7" t="s">
        <v>14</v>
      </c>
    </row>
    <row r="141" spans="1:4" x14ac:dyDescent="0.55000000000000004">
      <c r="A141" s="6" t="s">
        <v>193</v>
      </c>
      <c r="B141" s="6" t="s">
        <v>194</v>
      </c>
      <c r="C141" s="6" t="s">
        <v>31</v>
      </c>
      <c r="D141" s="7" t="s">
        <v>472</v>
      </c>
    </row>
    <row r="142" spans="1:4" x14ac:dyDescent="0.55000000000000004">
      <c r="A142" s="6" t="s">
        <v>370</v>
      </c>
      <c r="B142" s="6" t="s">
        <v>473</v>
      </c>
      <c r="C142" s="6" t="s">
        <v>10</v>
      </c>
      <c r="D142" s="7" t="s">
        <v>513</v>
      </c>
    </row>
    <row r="143" spans="1:4" x14ac:dyDescent="0.55000000000000004">
      <c r="A143" s="6" t="s">
        <v>196</v>
      </c>
      <c r="B143" s="6" t="s">
        <v>38</v>
      </c>
      <c r="C143" s="6" t="s">
        <v>31</v>
      </c>
      <c r="D143" s="7" t="s">
        <v>474</v>
      </c>
    </row>
    <row r="144" spans="1:4" x14ac:dyDescent="0.55000000000000004">
      <c r="A144" s="6" t="s">
        <v>246</v>
      </c>
      <c r="B144" s="6" t="s">
        <v>247</v>
      </c>
      <c r="C144" s="6" t="s">
        <v>10</v>
      </c>
      <c r="D144" s="7" t="s">
        <v>367</v>
      </c>
    </row>
    <row r="145" spans="1:4" x14ac:dyDescent="0.55000000000000004">
      <c r="A145" s="6" t="s">
        <v>125</v>
      </c>
      <c r="B145" s="6" t="s">
        <v>126</v>
      </c>
      <c r="C145" s="6" t="s">
        <v>32</v>
      </c>
      <c r="D145" s="7" t="s">
        <v>28</v>
      </c>
    </row>
    <row r="146" spans="1:4" x14ac:dyDescent="0.55000000000000004">
      <c r="A146" s="6" t="s">
        <v>325</v>
      </c>
      <c r="B146" s="6" t="s">
        <v>336</v>
      </c>
      <c r="C146" s="6" t="s">
        <v>32</v>
      </c>
      <c r="D146" s="7" t="s">
        <v>337</v>
      </c>
    </row>
    <row r="147" spans="1:4" x14ac:dyDescent="0.55000000000000004">
      <c r="A147" s="6" t="s">
        <v>127</v>
      </c>
      <c r="B147" s="6" t="s">
        <v>128</v>
      </c>
      <c r="C147" s="6" t="s">
        <v>32</v>
      </c>
      <c r="D147" s="7" t="s">
        <v>475</v>
      </c>
    </row>
    <row r="148" spans="1:4" x14ac:dyDescent="0.55000000000000004">
      <c r="A148" s="6" t="s">
        <v>514</v>
      </c>
      <c r="B148" s="6" t="s">
        <v>515</v>
      </c>
      <c r="C148" s="6" t="s">
        <v>32</v>
      </c>
      <c r="D148" s="7" t="s">
        <v>516</v>
      </c>
    </row>
    <row r="149" spans="1:4" x14ac:dyDescent="0.55000000000000004">
      <c r="A149" s="6" t="s">
        <v>129</v>
      </c>
      <c r="B149" s="6" t="s">
        <v>130</v>
      </c>
      <c r="C149" s="6" t="s">
        <v>32</v>
      </c>
      <c r="D149" s="7" t="s">
        <v>476</v>
      </c>
    </row>
    <row r="150" spans="1:4" x14ac:dyDescent="0.55000000000000004">
      <c r="A150" s="6" t="s">
        <v>319</v>
      </c>
      <c r="B150" s="6" t="s">
        <v>320</v>
      </c>
      <c r="C150" s="6" t="s">
        <v>26</v>
      </c>
      <c r="D150" s="7" t="s">
        <v>477</v>
      </c>
    </row>
    <row r="151" spans="1:4" x14ac:dyDescent="0.55000000000000004">
      <c r="A151" s="6" t="s">
        <v>258</v>
      </c>
      <c r="B151" s="6" t="s">
        <v>371</v>
      </c>
      <c r="C151" s="6" t="s">
        <v>301</v>
      </c>
      <c r="D151" s="7" t="s">
        <v>517</v>
      </c>
    </row>
    <row r="152" spans="1:4" x14ac:dyDescent="0.55000000000000004">
      <c r="A152" s="6" t="s">
        <v>164</v>
      </c>
      <c r="B152" s="6" t="s">
        <v>50</v>
      </c>
      <c r="C152" s="6" t="s">
        <v>16</v>
      </c>
      <c r="D152" s="7" t="s">
        <v>20</v>
      </c>
    </row>
    <row r="153" spans="1:4" x14ac:dyDescent="0.55000000000000004">
      <c r="A153" s="6" t="s">
        <v>219</v>
      </c>
      <c r="B153" s="6" t="s">
        <v>70</v>
      </c>
      <c r="C153" s="6" t="s">
        <v>26</v>
      </c>
      <c r="D153" s="7" t="s">
        <v>478</v>
      </c>
    </row>
    <row r="154" spans="1:4" x14ac:dyDescent="0.55000000000000004">
      <c r="A154" s="6" t="s">
        <v>131</v>
      </c>
      <c r="B154" s="6" t="s">
        <v>53</v>
      </c>
      <c r="C154" s="6" t="s">
        <v>32</v>
      </c>
      <c r="D154" s="7" t="s">
        <v>479</v>
      </c>
    </row>
    <row r="155" spans="1:4" x14ac:dyDescent="0.55000000000000004">
      <c r="A155" s="6" t="s">
        <v>199</v>
      </c>
      <c r="B155" s="6" t="s">
        <v>200</v>
      </c>
      <c r="C155" s="6" t="s">
        <v>31</v>
      </c>
      <c r="D155" s="7" t="s">
        <v>480</v>
      </c>
    </row>
    <row r="156" spans="1:4" x14ac:dyDescent="0.55000000000000004">
      <c r="A156" s="6" t="s">
        <v>201</v>
      </c>
      <c r="B156" s="6" t="s">
        <v>202</v>
      </c>
      <c r="C156" s="6" t="s">
        <v>31</v>
      </c>
      <c r="D156" s="7" t="s">
        <v>481</v>
      </c>
    </row>
    <row r="157" spans="1:4" x14ac:dyDescent="0.55000000000000004">
      <c r="A157" s="6" t="s">
        <v>280</v>
      </c>
      <c r="B157" s="6" t="s">
        <v>95</v>
      </c>
      <c r="C157" s="6" t="s">
        <v>10</v>
      </c>
      <c r="D157" s="7" t="s">
        <v>292</v>
      </c>
    </row>
    <row r="158" spans="1:4" x14ac:dyDescent="0.55000000000000004">
      <c r="A158" s="6" t="s">
        <v>132</v>
      </c>
      <c r="B158" s="6" t="s">
        <v>133</v>
      </c>
      <c r="C158" s="6" t="s">
        <v>32</v>
      </c>
      <c r="D158" s="7" t="s">
        <v>482</v>
      </c>
    </row>
    <row r="159" spans="1:4" x14ac:dyDescent="0.55000000000000004">
      <c r="A159" s="6" t="s">
        <v>259</v>
      </c>
      <c r="B159" s="6" t="s">
        <v>260</v>
      </c>
      <c r="C159" s="6" t="s">
        <v>301</v>
      </c>
      <c r="D159" s="7" t="s">
        <v>483</v>
      </c>
    </row>
    <row r="160" spans="1:4" x14ac:dyDescent="0.55000000000000004">
      <c r="A160" s="6" t="s">
        <v>249</v>
      </c>
      <c r="B160" s="6" t="s">
        <v>101</v>
      </c>
      <c r="C160" s="6" t="s">
        <v>10</v>
      </c>
      <c r="D160" s="7" t="s">
        <v>484</v>
      </c>
    </row>
    <row r="161" spans="1:4" x14ac:dyDescent="0.55000000000000004">
      <c r="A161" s="6" t="s">
        <v>134</v>
      </c>
      <c r="B161" s="6" t="s">
        <v>135</v>
      </c>
      <c r="C161" s="6" t="s">
        <v>32</v>
      </c>
      <c r="D161" s="7" t="s">
        <v>485</v>
      </c>
    </row>
    <row r="162" spans="1:4" x14ac:dyDescent="0.55000000000000004">
      <c r="A162" s="6" t="s">
        <v>220</v>
      </c>
      <c r="B162" s="6" t="s">
        <v>221</v>
      </c>
      <c r="C162" s="6" t="s">
        <v>26</v>
      </c>
      <c r="D162" s="7" t="s">
        <v>486</v>
      </c>
    </row>
    <row r="163" spans="1:4" x14ac:dyDescent="0.55000000000000004">
      <c r="A163" s="6" t="s">
        <v>248</v>
      </c>
      <c r="B163" s="6" t="s">
        <v>36</v>
      </c>
      <c r="C163" s="6" t="s">
        <v>10</v>
      </c>
      <c r="D163" s="7" t="s">
        <v>487</v>
      </c>
    </row>
    <row r="164" spans="1:4" x14ac:dyDescent="0.55000000000000004">
      <c r="A164" s="6" t="s">
        <v>203</v>
      </c>
      <c r="B164" s="6" t="s">
        <v>83</v>
      </c>
      <c r="C164" s="6" t="s">
        <v>31</v>
      </c>
      <c r="D164" s="7" t="s">
        <v>488</v>
      </c>
    </row>
    <row r="165" spans="1:4" x14ac:dyDescent="0.55000000000000004">
      <c r="A165" s="6" t="s">
        <v>518</v>
      </c>
      <c r="B165" s="6" t="s">
        <v>519</v>
      </c>
      <c r="C165" s="6" t="s">
        <v>10</v>
      </c>
      <c r="D165" s="7" t="s">
        <v>520</v>
      </c>
    </row>
    <row r="166" spans="1:4" x14ac:dyDescent="0.55000000000000004">
      <c r="A166" s="6" t="s">
        <v>261</v>
      </c>
      <c r="B166" s="6" t="s">
        <v>262</v>
      </c>
      <c r="C166" s="6" t="s">
        <v>301</v>
      </c>
      <c r="D166" s="7" t="s">
        <v>489</v>
      </c>
    </row>
    <row r="167" spans="1:4" x14ac:dyDescent="0.55000000000000004">
      <c r="A167" s="6" t="s">
        <v>173</v>
      </c>
      <c r="B167" s="6" t="s">
        <v>669</v>
      </c>
      <c r="C167" s="6" t="s">
        <v>31</v>
      </c>
      <c r="D167" s="7" t="s">
        <v>670</v>
      </c>
    </row>
    <row r="168" spans="1:4" x14ac:dyDescent="0.55000000000000004">
      <c r="A168" s="6" t="s">
        <v>322</v>
      </c>
      <c r="B168" s="6" t="s">
        <v>671</v>
      </c>
      <c r="C168" s="6" t="s">
        <v>264</v>
      </c>
      <c r="D168" s="7" t="s">
        <v>672</v>
      </c>
    </row>
    <row r="169" spans="1:4" x14ac:dyDescent="0.55000000000000004">
      <c r="A169" s="6" t="s">
        <v>323</v>
      </c>
      <c r="B169" s="6" t="s">
        <v>342</v>
      </c>
      <c r="C169" s="6" t="s">
        <v>264</v>
      </c>
      <c r="D169" s="7" t="s">
        <v>343</v>
      </c>
    </row>
    <row r="170" spans="1:4" ht="28.8" x14ac:dyDescent="0.55000000000000004">
      <c r="A170" s="6" t="s">
        <v>350</v>
      </c>
      <c r="B170" s="6" t="s">
        <v>351</v>
      </c>
      <c r="C170" s="6" t="s">
        <v>264</v>
      </c>
      <c r="D170" s="7" t="s">
        <v>2222</v>
      </c>
    </row>
    <row r="171" spans="1:4" x14ac:dyDescent="0.55000000000000004">
      <c r="A171" s="6" t="s">
        <v>136</v>
      </c>
      <c r="B171" s="6" t="s">
        <v>137</v>
      </c>
      <c r="C171" s="6" t="s">
        <v>32</v>
      </c>
      <c r="D171" s="7" t="s">
        <v>490</v>
      </c>
    </row>
    <row r="172" spans="1:4" x14ac:dyDescent="0.55000000000000004">
      <c r="A172" s="6" t="s">
        <v>352</v>
      </c>
      <c r="B172" s="6" t="s">
        <v>353</v>
      </c>
      <c r="C172" s="6" t="s">
        <v>264</v>
      </c>
      <c r="D172" s="7" t="s">
        <v>2223</v>
      </c>
    </row>
    <row r="173" spans="1:4" x14ac:dyDescent="0.55000000000000004">
      <c r="A173" s="6" t="s">
        <v>222</v>
      </c>
      <c r="B173" s="6" t="s">
        <v>223</v>
      </c>
      <c r="C173" s="6" t="s">
        <v>26</v>
      </c>
      <c r="D173" s="7" t="s">
        <v>491</v>
      </c>
    </row>
    <row r="174" spans="1:4" x14ac:dyDescent="0.55000000000000004">
      <c r="A174" s="6" t="s">
        <v>138</v>
      </c>
      <c r="B174" s="6" t="s">
        <v>139</v>
      </c>
      <c r="C174" s="6" t="s">
        <v>32</v>
      </c>
      <c r="D174" s="7" t="s">
        <v>492</v>
      </c>
    </row>
  </sheetData>
  <hyperlinks>
    <hyperlink ref="D169" r:id="rId1" xr:uid="{4C2F0857-6497-4EC0-91BD-76C416DC29F9}"/>
    <hyperlink ref="D30" r:id="rId2" xr:uid="{B715F42D-C35D-4B4E-9E46-BC7B6371F7BD}"/>
    <hyperlink ref="D31" r:id="rId3" xr:uid="{2F890C2D-570E-4D61-A489-9792584188EA}"/>
    <hyperlink ref="D62" r:id="rId4" xr:uid="{E032B458-6A39-4F97-B33A-A9DECABF5139}"/>
    <hyperlink ref="D170" r:id="rId5" xr:uid="{9E119E62-8C52-492A-91C7-F1546BCDFF05}"/>
    <hyperlink ref="D172" r:id="rId6" xr:uid="{0E399715-D228-4058-B1D2-76E8E5F76615}"/>
    <hyperlink ref="D86" r:id="rId7" xr:uid="{3A87EEAB-C7C1-44D6-8754-876097274E66}"/>
    <hyperlink ref="D32" r:id="rId8" xr:uid="{C460FDC5-ECFA-4B13-87A1-45BB21BD68AC}"/>
    <hyperlink ref="D33" r:id="rId9" xr:uid="{DD69AC44-A3A0-449C-A4EB-0D4370596523}"/>
    <hyperlink ref="D34" r:id="rId10" xr:uid="{770EAF24-AF8F-4FED-8504-2455418C0D9F}"/>
    <hyperlink ref="D35" r:id="rId11" xr:uid="{E9977C86-BAB1-4F9C-ABDC-9CA7028CD433}"/>
    <hyperlink ref="D54" r:id="rId12" xr:uid="{00583C69-4070-4F09-84DB-90AC5E34009D}"/>
    <hyperlink ref="D76" r:id="rId13" xr:uid="{58765F44-C834-4E11-8BED-6BB6D3C0CDC4}"/>
    <hyperlink ref="D77" r:id="rId14" xr:uid="{2C04DD4C-0EC7-4E10-960A-7D9181A9BCDA}"/>
    <hyperlink ref="D83" r:id="rId15" xr:uid="{00876398-12F8-4CE0-BA2F-9C9590622E41}"/>
    <hyperlink ref="D92" r:id="rId16" xr:uid="{91B0D179-12E4-4153-9B79-120E6DDFBBE3}"/>
    <hyperlink ref="D93" r:id="rId17" xr:uid="{91552BE1-0A7A-4746-9BC4-AFD19AC0D7F8}"/>
    <hyperlink ref="D96" r:id="rId18" xr:uid="{1A0CDAF9-946D-4263-B529-0E4EB6D362A5}"/>
    <hyperlink ref="D105" r:id="rId19" xr:uid="{CB1A2F10-6EDC-4F02-A158-86EED954AE1E}"/>
    <hyperlink ref="D106" r:id="rId20" xr:uid="{59EB8CA9-82D3-426C-93DF-C6CB18CA8DD5}"/>
    <hyperlink ref="D108" r:id="rId21" xr:uid="{F95F45C6-1624-4943-891E-A27A4C59C891}"/>
    <hyperlink ref="D115" r:id="rId22" xr:uid="{352B2DDC-441D-41DA-B407-A65670FCB7E3}"/>
    <hyperlink ref="D116" r:id="rId23" xr:uid="{4B5BB47B-0E7A-450F-B529-8AFE81FCD66D}"/>
    <hyperlink ref="D117" r:id="rId24" xr:uid="{54B2F8DF-F03E-425D-951B-901643DDD343}"/>
    <hyperlink ref="D119" r:id="rId25" xr:uid="{E809DB70-260E-4E59-8E5B-21A956C6B980}"/>
    <hyperlink ref="D120" r:id="rId26" xr:uid="{7FD6C919-B78C-493A-8995-6EA981B2A0F9}"/>
    <hyperlink ref="D128" r:id="rId27" xr:uid="{DD7A1EFF-B8F4-4CEB-98A2-6948E3C34A47}"/>
    <hyperlink ref="D133" r:id="rId28" xr:uid="{1A91ADBD-9FCC-4B1A-AA15-5768757A741E}"/>
    <hyperlink ref="D134" r:id="rId29" xr:uid="{4C32399B-6036-4635-A00D-D954AB419871}"/>
    <hyperlink ref="D140" r:id="rId30" xr:uid="{3F9D3260-0D66-4B50-AB56-7049250BBE47}"/>
    <hyperlink ref="D144" r:id="rId31" xr:uid="{C2EE676A-1FCC-4616-8611-B9C70ED75F24}"/>
    <hyperlink ref="D145" r:id="rId32" xr:uid="{DB010CD0-5C30-49E7-90B9-F5CC96CA059D}"/>
    <hyperlink ref="D146" r:id="rId33" xr:uid="{54615DFA-C5B3-4976-8DF0-7FC5F56B7F07}"/>
    <hyperlink ref="D152" r:id="rId34" xr:uid="{BCAB97F5-CA39-4C82-B4EF-7B48C4B68BFA}"/>
    <hyperlink ref="D157" r:id="rId35" xr:uid="{BB72E195-4D9F-4BC3-A379-AC7D9797FE22}"/>
    <hyperlink ref="D2" r:id="rId36" xr:uid="{FE945185-1BD4-484A-86A2-18B4BA24540A}"/>
    <hyperlink ref="D3" r:id="rId37" xr:uid="{CDD3FFE3-204A-4AB7-AEA5-30BACC459068}"/>
    <hyperlink ref="D4" r:id="rId38" xr:uid="{08A489BD-D25C-4407-B517-BAE1BE2667D3}"/>
    <hyperlink ref="D5" r:id="rId39" xr:uid="{14D72C0C-B43B-4927-8EC6-E3F40391738B}"/>
    <hyperlink ref="D6" r:id="rId40" xr:uid="{D1AECD93-7AB6-4009-B42D-DD855C1112D7}"/>
    <hyperlink ref="D7" r:id="rId41" xr:uid="{C0919496-6755-4655-8AAE-A8DC3B9FF011}"/>
    <hyperlink ref="D8" r:id="rId42" xr:uid="{C2A47759-A7E7-4C41-ACD7-5BA2906AC7CB}"/>
    <hyperlink ref="D9" r:id="rId43" xr:uid="{B7F80BD7-4A74-463D-A795-8EEB16D564F8}"/>
    <hyperlink ref="D10" r:id="rId44" xr:uid="{CF011D98-BAEE-414A-AA64-88C6F0F09366}"/>
    <hyperlink ref="D11" r:id="rId45" xr:uid="{5BBB4741-CAC5-4945-B9E6-AE43DE1B8D69}"/>
    <hyperlink ref="D12" r:id="rId46" xr:uid="{B9651542-15F7-4431-A0FA-557ED8F338A6}"/>
    <hyperlink ref="D13" r:id="rId47" xr:uid="{8BA9A149-F172-4552-8CD1-0E4E7946C1D0}"/>
    <hyperlink ref="D14" r:id="rId48" xr:uid="{E02BBA20-678B-446A-BCF7-3D7D8C6702C7}"/>
    <hyperlink ref="D15" r:id="rId49" xr:uid="{458B1F78-A395-483F-A8CD-8CFE1C621BDD}"/>
    <hyperlink ref="D16" r:id="rId50" xr:uid="{54A2AD3B-0F4F-4B66-8A86-AFD2D7F4048C}"/>
    <hyperlink ref="D17" r:id="rId51" xr:uid="{7BBC8A80-0CB5-4A73-B171-4D2C4E827C7A}"/>
    <hyperlink ref="D18" r:id="rId52" xr:uid="{3BB66A7D-3E2F-479B-AE71-9CE88EA3BD2C}"/>
    <hyperlink ref="D19" r:id="rId53" xr:uid="{47F40ABD-2659-4E01-A527-C4A0B88191E2}"/>
    <hyperlink ref="D20" r:id="rId54" xr:uid="{9EA82B63-49FB-4972-882A-81DE8965B8BE}"/>
    <hyperlink ref="D21" r:id="rId55" xr:uid="{C17F4B70-AE2C-40F2-855B-466F979DC739}"/>
    <hyperlink ref="D22" r:id="rId56" xr:uid="{419FF4AE-E82E-491A-A9C0-660B370AD8D8}"/>
    <hyperlink ref="D23" r:id="rId57" xr:uid="{2B7E1247-E137-4D2B-BFBA-E38925DF61F6}"/>
    <hyperlink ref="D25" r:id="rId58" xr:uid="{10BBB939-EA07-4F4B-A074-4B6552471012}"/>
    <hyperlink ref="D26" r:id="rId59" xr:uid="{3D42C0FE-E190-4C06-8CA4-7EC6025F33B9}"/>
    <hyperlink ref="D27" r:id="rId60" xr:uid="{4C1B6B4B-3938-4D7A-A97E-31D12131B5E2}"/>
    <hyperlink ref="D24" r:id="rId61" xr:uid="{1E7CE45E-194B-414A-AC96-76D0C158CBA9}"/>
    <hyperlink ref="D28" r:id="rId62" xr:uid="{53E50CBC-1B42-4EEC-A668-A8D9CCC206AD}"/>
    <hyperlink ref="D29" r:id="rId63" xr:uid="{CA992F63-D268-4C11-BA22-C9DCBB61CEC2}"/>
    <hyperlink ref="D36" r:id="rId64" xr:uid="{1C95F4BF-BB96-4E54-A15A-2828A0EDFFC9}"/>
    <hyperlink ref="D37" r:id="rId65" xr:uid="{8ED8292C-C017-4BE4-82B9-DC4BE261FD26}"/>
    <hyperlink ref="D38" r:id="rId66" xr:uid="{16654466-C830-4F45-B84C-1A005FAD2C29}"/>
    <hyperlink ref="D39" r:id="rId67" xr:uid="{3F6C5E71-D15B-4689-9CE7-B9CD791D377A}"/>
    <hyperlink ref="D40" r:id="rId68" xr:uid="{12B6FF6A-9961-4F66-9001-7D3F2D206796}"/>
    <hyperlink ref="D41" r:id="rId69" xr:uid="{7B5DC4FF-4A2E-470C-9503-115E3135C8C1}"/>
    <hyperlink ref="D42" r:id="rId70" xr:uid="{EAA6E79E-70F7-4AAF-989E-62E3B2A85583}"/>
    <hyperlink ref="D43" r:id="rId71" xr:uid="{07E098FE-6B0F-4636-980D-63A53AB8785C}"/>
    <hyperlink ref="D44" r:id="rId72" xr:uid="{5F01DBE8-F508-45AD-A344-82FE2B9B3AB6}"/>
    <hyperlink ref="D45" r:id="rId73" xr:uid="{9187404F-CA40-4DB8-93FE-C58813108D57}"/>
    <hyperlink ref="D46" r:id="rId74" xr:uid="{212F0EBC-EB08-4F5E-8F9B-83CA1673D8BA}"/>
    <hyperlink ref="D47" r:id="rId75" xr:uid="{347274B2-DD7F-467C-AEF1-7E93E9BBC546}"/>
    <hyperlink ref="D48" r:id="rId76" xr:uid="{33296553-6929-4F3A-AC15-B87CED129B04}"/>
    <hyperlink ref="D49" r:id="rId77" xr:uid="{4EDB1754-0607-47CC-8848-CE82B2611A64}"/>
    <hyperlink ref="D50" r:id="rId78" xr:uid="{9798A0F3-57EC-403A-ABE7-01F0AA1CEF9F}"/>
    <hyperlink ref="D51" r:id="rId79" xr:uid="{ED483E39-0F3D-4F3E-8C49-38D255F43DD8}"/>
    <hyperlink ref="D52" r:id="rId80" xr:uid="{DCF0174A-0B49-46C3-B18E-92B0E09B3F71}"/>
    <hyperlink ref="D53" r:id="rId81" xr:uid="{3DC4F8C4-DA59-405F-BD4E-E79341AE8EA2}"/>
    <hyperlink ref="D55" r:id="rId82" xr:uid="{9B8B9783-9EBE-4902-A971-191D2521A71A}"/>
    <hyperlink ref="D56" r:id="rId83" xr:uid="{AF4E272C-86F5-449A-8C57-05ADE7CA3DE7}"/>
    <hyperlink ref="D57" r:id="rId84" xr:uid="{62BFE7AF-FDE6-4A0E-9032-821D211D2D38}"/>
    <hyperlink ref="D58" r:id="rId85" xr:uid="{30D7A5E6-520E-4926-B5C5-96C6BDED064E}"/>
    <hyperlink ref="D59" r:id="rId86" xr:uid="{E0157967-FF92-4F55-91B7-FCDD7F049336}"/>
    <hyperlink ref="D60" r:id="rId87" xr:uid="{51D4FD7A-E274-4E2D-A30B-FEAFDECC667B}"/>
    <hyperlink ref="D61" r:id="rId88" xr:uid="{5FB03FAA-BE43-4340-B067-EF75C06CF397}"/>
    <hyperlink ref="D63" r:id="rId89" xr:uid="{A7DAB65D-669E-4562-97E4-DB088086717D}"/>
    <hyperlink ref="D64" r:id="rId90" xr:uid="{AF2DE766-9DBC-4347-8B40-9A07ED6204D0}"/>
    <hyperlink ref="D65" r:id="rId91" xr:uid="{38C3AF13-097B-491D-B38A-EAD5BCA6FD09}"/>
    <hyperlink ref="D66" r:id="rId92" xr:uid="{07A10AAE-97B1-4124-9D3E-323A20CFC260}"/>
    <hyperlink ref="D67" r:id="rId93" xr:uid="{12E1E90F-F253-4B93-8146-B85E2E6EE560}"/>
    <hyperlink ref="D68" r:id="rId94" xr:uid="{B8D7B5FC-455C-4CB7-A915-D06D4DF1536A}"/>
    <hyperlink ref="D69" r:id="rId95" xr:uid="{9917F082-D714-4DA5-8564-22EAE07257F6}"/>
    <hyperlink ref="D70" r:id="rId96" xr:uid="{BC9D697C-D205-45B8-A29B-D760352DA581}"/>
    <hyperlink ref="D71" r:id="rId97" xr:uid="{2FF5296A-1362-45E5-A5CA-9AC814B6C9F5}"/>
    <hyperlink ref="D72" r:id="rId98" xr:uid="{C2F14938-84B1-4BF0-A9A9-B6D0551A4B0F}"/>
    <hyperlink ref="D73" r:id="rId99" xr:uid="{EF6245FD-368C-4946-B9F3-1FF21F347F7B}"/>
    <hyperlink ref="D74" r:id="rId100" xr:uid="{D1F3EF23-B412-41C7-BA44-68A45D1BC32D}"/>
    <hyperlink ref="D75" r:id="rId101" xr:uid="{D00232A1-2B2C-420E-BA19-DF7BE0BFA3DC}"/>
    <hyperlink ref="D78" r:id="rId102" xr:uid="{ADF84D0C-694B-443A-88A7-7AB8ED0EB049}"/>
    <hyperlink ref="D79" r:id="rId103" xr:uid="{31921AE0-65C3-432B-8E0C-263767C78AC0}"/>
    <hyperlink ref="D80" r:id="rId104" xr:uid="{45AE54C4-EA7A-4C01-AEBB-DC42E0B9159F}"/>
    <hyperlink ref="D81" r:id="rId105" xr:uid="{FBF6F2B4-1909-4671-9F08-A9AC16184E26}"/>
    <hyperlink ref="D82" r:id="rId106" xr:uid="{0465E83E-799B-4237-B806-A05EA96D9BBF}"/>
    <hyperlink ref="D84" r:id="rId107" xr:uid="{3ED60B4D-CAB8-42E3-AF84-99DDEECC28C5}"/>
    <hyperlink ref="D85" r:id="rId108" xr:uid="{4388C9E6-D6F5-4C27-94D8-2F32C8FEE337}"/>
    <hyperlink ref="D87" r:id="rId109" xr:uid="{C498B9D9-3B95-4014-BAF3-6D990BBFD9FB}"/>
    <hyperlink ref="D88" r:id="rId110" xr:uid="{84B1584E-D210-48AE-BD01-EF8962376BD6}"/>
    <hyperlink ref="D89" r:id="rId111" xr:uid="{82D81A11-E1C3-4DD8-B396-178BF7619C7B}"/>
    <hyperlink ref="D90" r:id="rId112" xr:uid="{65581521-56FE-4BDF-8325-5138A12B7D8D}"/>
    <hyperlink ref="D91" r:id="rId113" xr:uid="{F5E1DA2C-CD82-4AF1-A4AD-57B14A0FECE1}"/>
    <hyperlink ref="D95" r:id="rId114" xr:uid="{DE677F95-8A40-479F-95B2-69B547DC2308}"/>
    <hyperlink ref="D97" r:id="rId115" xr:uid="{3192D0E5-B2F0-4716-B946-71F9A2FE12BF}"/>
    <hyperlink ref="D98" r:id="rId116" xr:uid="{08FC1958-93E5-407D-830B-092B0C997267}"/>
    <hyperlink ref="D99" r:id="rId117" xr:uid="{477D44DA-A6DC-475C-8F4F-47B0923AC5EB}"/>
    <hyperlink ref="D100" r:id="rId118" xr:uid="{5DB9639D-F924-4DD0-B3F0-1E3E8927693B}"/>
    <hyperlink ref="D101" r:id="rId119" xr:uid="{F95DE98E-DED4-4375-B8F7-A5C6DBBAC3EA}"/>
    <hyperlink ref="D102" r:id="rId120" xr:uid="{91E266F2-E69E-4777-A010-B567ECEF50DD}"/>
    <hyperlink ref="D103" r:id="rId121" xr:uid="{E5880BCE-6775-4CF3-8E24-15F4464E566E}"/>
    <hyperlink ref="D104" r:id="rId122" xr:uid="{CAF8FE25-C842-4669-B9CF-61DBED2596B5}"/>
    <hyperlink ref="D107" r:id="rId123" xr:uid="{A132A32F-B50E-4207-81D1-5D4452C1785D}"/>
    <hyperlink ref="D109" r:id="rId124" xr:uid="{5540FE30-6194-4F6F-BC66-E0CDDDF831BC}"/>
    <hyperlink ref="D110" r:id="rId125" xr:uid="{4DFFAC5C-19A6-42DA-9848-6B7EF7718DFF}"/>
    <hyperlink ref="D112" r:id="rId126" xr:uid="{97FCFFA1-1E0F-4FA6-88AC-FC224958FBAD}"/>
    <hyperlink ref="D113" r:id="rId127" xr:uid="{9199F899-D79D-4125-93CD-51FAA7C0E5F3}"/>
    <hyperlink ref="D114" r:id="rId128" xr:uid="{C01F02E6-436B-4CB5-A9AF-F0B7133C8CAA}"/>
    <hyperlink ref="D118" r:id="rId129" xr:uid="{7C3C1D61-1EB6-4B5F-BA91-9B7C7EEB095F}"/>
    <hyperlink ref="D121" r:id="rId130" xr:uid="{52BBC545-884C-4ABE-ABDD-F65346849DDC}"/>
    <hyperlink ref="D122" r:id="rId131" xr:uid="{4F2CE4B6-9E9E-4829-8C78-F8189FD3419B}"/>
    <hyperlink ref="D123" r:id="rId132" xr:uid="{047FE9C8-4925-4B1D-B08E-1C000C09154E}"/>
    <hyperlink ref="D124" r:id="rId133" xr:uid="{C07BE77C-D634-4946-940F-E22ACF03AE4D}"/>
    <hyperlink ref="D125" r:id="rId134" xr:uid="{A6A4D6D3-DB64-4CAC-A166-F65584E79635}"/>
    <hyperlink ref="D126" r:id="rId135" xr:uid="{3341FFBB-B5A0-4683-AD8A-AF806ED1F832}"/>
    <hyperlink ref="D127" r:id="rId136" xr:uid="{E8DF6278-B920-440E-8E50-154B3DCDA907}"/>
    <hyperlink ref="D129" r:id="rId137" xr:uid="{A30CD90F-E2C0-4A64-9631-B22B5B0E6E14}"/>
    <hyperlink ref="D130" r:id="rId138" xr:uid="{520D4EFD-3A1E-40C9-8475-2068A2A0D6C0}"/>
    <hyperlink ref="D131" r:id="rId139" xr:uid="{712793DE-E3AD-466F-BA57-DA1B1C29D62E}"/>
    <hyperlink ref="D132" r:id="rId140" xr:uid="{5EE3045F-9B4B-4D50-9DDB-B99D685C41D6}"/>
    <hyperlink ref="D135" r:id="rId141" xr:uid="{A2C333DB-4C76-4824-A547-AC9BCAA65F9D}"/>
    <hyperlink ref="D136" r:id="rId142" xr:uid="{46F4B869-0E20-4A40-928D-48FF8BDE24B6}"/>
    <hyperlink ref="D137" r:id="rId143" xr:uid="{1199C920-93A8-4336-9F5F-5C6A3F56D6A5}"/>
    <hyperlink ref="D138" r:id="rId144" xr:uid="{4636F361-39DC-4085-B3F7-CC0A7F690599}"/>
    <hyperlink ref="D139" r:id="rId145" xr:uid="{BC15E317-DC51-47F7-905F-60E0652D6873}"/>
    <hyperlink ref="D141" r:id="rId146" xr:uid="{97C51E99-9604-440C-A11F-C9B0B4C86BDA}"/>
    <hyperlink ref="D142" r:id="rId147" xr:uid="{1BB401DD-C52F-4DEE-B237-4656D54B9238}"/>
    <hyperlink ref="D143" r:id="rId148" xr:uid="{8FC2AB55-E2A5-448B-BDF5-922BA518E0D8}"/>
    <hyperlink ref="D147" r:id="rId149" xr:uid="{234DF47B-2F1E-4765-AB7F-22C8684D3115}"/>
    <hyperlink ref="D148" r:id="rId150" xr:uid="{9E437C31-A6F8-4BA4-BAA6-FC8CF840472B}"/>
    <hyperlink ref="D149" r:id="rId151" xr:uid="{EBD5017C-7939-4D57-A1A6-AE208C63A537}"/>
    <hyperlink ref="D150" r:id="rId152" xr:uid="{13F802B0-980D-4394-9053-ED75B740357A}"/>
    <hyperlink ref="D151" r:id="rId153" xr:uid="{6FBA87DB-8EB4-41ED-B4BB-57D7B3A907A3}"/>
    <hyperlink ref="D153" r:id="rId154" xr:uid="{AA05A7FC-2DD7-4760-B1B5-B016CA433863}"/>
    <hyperlink ref="D154" r:id="rId155" xr:uid="{5656726C-27E7-440E-BF1D-FF107AFDF3FB}"/>
    <hyperlink ref="D155" r:id="rId156" xr:uid="{42E42464-D6D3-4983-8B48-FE6ACCAB2819}"/>
    <hyperlink ref="D156" r:id="rId157" xr:uid="{9BEFBE3F-480A-4715-89E0-8423349BD5C1}"/>
    <hyperlink ref="D159" r:id="rId158" xr:uid="{0E98076C-EB54-48D6-80D6-FC28D180531E}"/>
    <hyperlink ref="D160" r:id="rId159" xr:uid="{EB9F9155-F2AD-4D14-BC32-88CE03382156}"/>
    <hyperlink ref="D162" r:id="rId160" xr:uid="{C4DDEFD5-E93D-49FE-8FB9-5D8F2E51D2C9}"/>
    <hyperlink ref="D158" r:id="rId161" xr:uid="{FAAFE893-A014-4B6D-9796-8644FE05B0B3}"/>
    <hyperlink ref="D161" r:id="rId162" xr:uid="{F928AA96-7F7C-4024-B874-6BEEDE3A1490}"/>
    <hyperlink ref="D163" r:id="rId163" xr:uid="{6FC893C5-1F35-4C76-B747-3E7317B8E567}"/>
    <hyperlink ref="D164" r:id="rId164" xr:uid="{1FE648A4-8369-4D71-B194-FE6C27F96E5E}"/>
    <hyperlink ref="D165" r:id="rId165" xr:uid="{12D0C314-E0B3-4495-AB47-5F8EEE87123B}"/>
    <hyperlink ref="D166" r:id="rId166" xr:uid="{2FA89FAC-DF74-4EE2-9F96-D748EA794C0E}"/>
    <hyperlink ref="D167" r:id="rId167" xr:uid="{58E751F6-CD79-4F60-A61E-3D38E7E7D6EC}"/>
    <hyperlink ref="D168" r:id="rId168" xr:uid="{90D91C34-93A8-454C-991E-7B6C92997CD2}"/>
    <hyperlink ref="D171" r:id="rId169" xr:uid="{314372B0-9696-42AD-82A4-7F03B945B4C5}"/>
    <hyperlink ref="D173" r:id="rId170" xr:uid="{11E80836-7CCF-4FA9-85B8-809F770845E1}"/>
    <hyperlink ref="D174" r:id="rId171" xr:uid="{D54239DF-4143-4899-A176-1C0DAC9755EF}"/>
    <hyperlink ref="D94" r:id="rId172" xr:uid="{B82BE6BA-5616-45AA-812E-6473D07DB0B6}"/>
  </hyperlinks>
  <pageMargins left="0.7" right="0.7" top="0.75" bottom="0.75" header="0.3" footer="0.3"/>
  <tableParts count="1">
    <tablePart r:id="rId17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START</vt:lpstr>
      <vt:lpstr>M3U</vt:lpstr>
      <vt:lpstr>STREAM</vt:lpstr>
      <vt:lpstr>EPG</vt:lpstr>
      <vt:lpstr>XMLTV</vt:lpstr>
      <vt:lpstr>GUIDE</vt:lpstr>
      <vt:lpstr>CHANNEL</vt:lpstr>
      <vt:lpstr>CHANNEL 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Toha</dc:creator>
  <cp:lastModifiedBy>Toha</cp:lastModifiedBy>
  <dcterms:created xsi:type="dcterms:W3CDTF">2023-01-21T15:13:13Z</dcterms:created>
  <dcterms:modified xsi:type="dcterms:W3CDTF">2026-07-22T15:05:48Z</dcterms:modified>
</cp:coreProperties>
</file>